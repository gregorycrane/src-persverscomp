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drawings/drawing2.xml" ContentType="application/vnd.openxmlformats-officedocument.drawing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drawings/drawing3.xml" ContentType="application/vnd.openxmlformats-officedocument.drawing+xml"/>
  <Override PartName="/xl/ctrlProps/ctrlProp337.xml" ContentType="application/vnd.ms-excel.controlproperties+xml"/>
  <Override PartName="/xl/ctrlProps/ctrlProp338.xml" ContentType="application/vnd.ms-excel.controlproperties+xml"/>
  <Override PartName="/xl/drawings/drawing4.xml" ContentType="application/vnd.openxmlformats-officedocument.drawing+xml"/>
  <Override PartName="/xl/ctrlProps/ctrlProp339.xml" ContentType="application/vnd.ms-excel.controlproperties+xml"/>
  <Override PartName="/xl/ctrlProps/ctrlProp34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Research Administration\Departments\Classics (A160001)\Crane(Perseus)\Grants and Fellowships\Closed\EH0001 NEH\"/>
    </mc:Choice>
  </mc:AlternateContent>
  <xr:revisionPtr revIDLastSave="0" documentId="8_{E8223EBC-9F63-440F-ADAB-C709DE79E85B}" xr6:coauthVersionLast="47" xr6:coauthVersionMax="47" xr10:uidLastSave="{00000000-0000-0000-0000-000000000000}"/>
  <bookViews>
    <workbookView xWindow="28680" yWindow="-120" windowWidth="29040" windowHeight="15720" tabRatio="539" firstSheet="2" activeTab="2" xr2:uid="{00000000-000D-0000-FFFF-FFFF00000000}"/>
  </bookViews>
  <sheets>
    <sheet name="Input Sheet" sheetId="3" state="hidden" r:id="rId1"/>
    <sheet name="Input Sheet Template" sheetId="10" state="veryHidden" r:id="rId2"/>
    <sheet name="Formatted Budget" sheetId="2" r:id="rId3"/>
    <sheet name="Print" sheetId="8" state="hidden" r:id="rId4"/>
    <sheet name="Print_Hold" sheetId="7" state="veryHidden" r:id="rId5"/>
    <sheet name="Template" sheetId="6" state="hidden" r:id="rId6"/>
    <sheet name="Back-end" sheetId="4" state="hidden" r:id="rId7"/>
    <sheet name="ISCF" sheetId="9" state="veryHidden" r:id="rId8"/>
  </sheets>
  <definedNames>
    <definedName name="CompInflator">'Formatted Budget'!$A$3</definedName>
    <definedName name="IndirectRate">Template!$F$76</definedName>
    <definedName name="_xlnm.Print_Area" localSheetId="2">'Formatted Budget'!$C$3:$H$4</definedName>
    <definedName name="_xlnm.Print_Area" localSheetId="3">Print!$A$1:$G$4</definedName>
    <definedName name="TotalCompCum">Template!$S$71</definedName>
    <definedName name="TotalCompY1">Template!$I$71</definedName>
    <definedName name="TotalDirectCum">Template!$S$74</definedName>
    <definedName name="TotalDirectY1">Template!$I$74</definedName>
    <definedName name="TotalEquipCum">Template!$S$73</definedName>
    <definedName name="TotalEquipY1">Template!$I$73</definedName>
    <definedName name="TotalIndirectCum">Template!$S$76</definedName>
    <definedName name="TotalIndirectY1">Template!$I$76</definedName>
    <definedName name="TotalMTDCCum">Template!$S$75</definedName>
    <definedName name="TotalMTDCY1">Template!$I$75</definedName>
    <definedName name="TotalOtherCum">Template!$S$72</definedName>
    <definedName name="TotalOtherY1">Template!$I$72</definedName>
    <definedName name="TotalProjectCum">Template!$S$77</definedName>
    <definedName name="TotalProjectY1">Template!$I$77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" i="2" l="1"/>
  <c r="BU76" i="2"/>
  <c r="BV69" i="2"/>
  <c r="BU63" i="2"/>
  <c r="BV62" i="2"/>
  <c r="BU62" i="2"/>
  <c r="BV61" i="2"/>
  <c r="BV55" i="2"/>
  <c r="BU55" i="2"/>
  <c r="BV50" i="2"/>
  <c r="BU45" i="2"/>
  <c r="BU44" i="2"/>
  <c r="BV40" i="2"/>
  <c r="BU37" i="2"/>
  <c r="BV28" i="2"/>
  <c r="K50" i="2"/>
  <c r="K55" i="2"/>
  <c r="J55" i="2"/>
  <c r="L50" i="2"/>
  <c r="K61" i="2"/>
  <c r="J61" i="2"/>
  <c r="I69" i="2"/>
  <c r="J62" i="2"/>
  <c r="J69" i="2"/>
  <c r="J43" i="2"/>
  <c r="K44" i="2"/>
  <c r="K37" i="2"/>
  <c r="L40" i="2"/>
  <c r="K40" i="2"/>
  <c r="L34" i="2"/>
  <c r="L33" i="2"/>
  <c r="L28" i="2"/>
  <c r="K28" i="2"/>
  <c r="J28" i="2"/>
  <c r="A35" i="2"/>
  <c r="X35" i="2" s="1"/>
  <c r="B35" i="2"/>
  <c r="L35" i="2"/>
  <c r="O35" i="2"/>
  <c r="P35" i="2"/>
  <c r="Q35" i="2"/>
  <c r="R35" i="2"/>
  <c r="S35" i="2"/>
  <c r="T35" i="2"/>
  <c r="U35" i="2"/>
  <c r="V35" i="2"/>
  <c r="A36" i="2"/>
  <c r="AA36" i="2" s="1"/>
  <c r="B36" i="2"/>
  <c r="L36" i="2"/>
  <c r="O36" i="2"/>
  <c r="P36" i="2"/>
  <c r="Q36" i="2"/>
  <c r="R36" i="2"/>
  <c r="S36" i="2"/>
  <c r="T36" i="2"/>
  <c r="U36" i="2"/>
  <c r="V36" i="2"/>
  <c r="I62" i="2"/>
  <c r="I28" i="2"/>
  <c r="I37" i="2" s="1"/>
  <c r="L18" i="2"/>
  <c r="BU75" i="2" l="1"/>
  <c r="BU77" i="2" s="1"/>
  <c r="BV71" i="2"/>
  <c r="K62" i="2"/>
  <c r="L32" i="2"/>
  <c r="BV32" i="2" s="1"/>
  <c r="BV37" i="2" s="1"/>
  <c r="K45" i="2"/>
  <c r="L55" i="2"/>
  <c r="AG35" i="2"/>
  <c r="AF35" i="2"/>
  <c r="AG36" i="2"/>
  <c r="AJ35" i="2"/>
  <c r="AT36" i="2"/>
  <c r="N36" i="2"/>
  <c r="AS36" i="2"/>
  <c r="Y36" i="2"/>
  <c r="M36" i="2"/>
  <c r="AR35" i="2"/>
  <c r="AR36" i="2"/>
  <c r="X36" i="2"/>
  <c r="AQ35" i="2"/>
  <c r="AE35" i="2"/>
  <c r="AP35" i="2"/>
  <c r="AD35" i="2"/>
  <c r="AC35" i="2"/>
  <c r="AB35" i="2"/>
  <c r="AV35" i="2"/>
  <c r="AV36" i="2"/>
  <c r="AF36" i="2"/>
  <c r="AU35" i="2"/>
  <c r="W35" i="2"/>
  <c r="AE36" i="2"/>
  <c r="AT35" i="2"/>
  <c r="Z36" i="2"/>
  <c r="AS35" i="2"/>
  <c r="AQ36" i="2"/>
  <c r="W36" i="2"/>
  <c r="AL36" i="2"/>
  <c r="AA35" i="2"/>
  <c r="AW36" i="2"/>
  <c r="AI35" i="2"/>
  <c r="AU36" i="2"/>
  <c r="AH35" i="2"/>
  <c r="N35" i="2"/>
  <c r="AO35" i="2"/>
  <c r="AK36" i="2"/>
  <c r="AZ35" i="2"/>
  <c r="AN35" i="2"/>
  <c r="AJ36" i="2"/>
  <c r="AY35" i="2"/>
  <c r="AM35" i="2"/>
  <c r="AI36" i="2"/>
  <c r="AX35" i="2"/>
  <c r="AL35" i="2"/>
  <c r="Z35" i="2"/>
  <c r="AX36" i="2"/>
  <c r="AH36" i="2"/>
  <c r="AW35" i="2"/>
  <c r="AK35" i="2"/>
  <c r="Y35" i="2"/>
  <c r="M35" i="2"/>
  <c r="AP36" i="2"/>
  <c r="AD36" i="2"/>
  <c r="AO36" i="2"/>
  <c r="AC36" i="2"/>
  <c r="AZ36" i="2"/>
  <c r="AN36" i="2"/>
  <c r="AB36" i="2"/>
  <c r="AY36" i="2"/>
  <c r="AM36" i="2"/>
  <c r="J40" i="2"/>
  <c r="I40" i="2"/>
  <c r="J70" i="2"/>
  <c r="I70" i="2"/>
  <c r="L59" i="2"/>
  <c r="L60" i="2"/>
  <c r="L58" i="2"/>
  <c r="L57" i="2"/>
  <c r="L17" i="2"/>
  <c r="A30" i="2"/>
  <c r="AB30" i="2" s="1"/>
  <c r="A31" i="2"/>
  <c r="AO31" i="2" s="1"/>
  <c r="A28" i="2"/>
  <c r="AY28" i="2" s="1"/>
  <c r="A29" i="2"/>
  <c r="AB29" i="2" s="1"/>
  <c r="A32" i="2"/>
  <c r="A33" i="2"/>
  <c r="N33" i="2" s="1"/>
  <c r="A34" i="2"/>
  <c r="AD28" i="2"/>
  <c r="AK28" i="2"/>
  <c r="X28" i="2"/>
  <c r="AH28" i="2"/>
  <c r="L51" i="2"/>
  <c r="L52" i="2"/>
  <c r="L53" i="2"/>
  <c r="L54" i="2"/>
  <c r="L56" i="2"/>
  <c r="V28" i="2"/>
  <c r="V29" i="2"/>
  <c r="V30" i="2"/>
  <c r="V31" i="2"/>
  <c r="B32" i="2"/>
  <c r="V32" i="2"/>
  <c r="B33" i="2"/>
  <c r="V33" i="2"/>
  <c r="B34" i="2"/>
  <c r="V34" i="2"/>
  <c r="U32" i="2"/>
  <c r="T32" i="2"/>
  <c r="S32" i="2"/>
  <c r="R32" i="2"/>
  <c r="Q32" i="2"/>
  <c r="P32" i="2"/>
  <c r="O32" i="2"/>
  <c r="N32" i="2"/>
  <c r="U30" i="2"/>
  <c r="U31" i="2"/>
  <c r="T30" i="2"/>
  <c r="T31" i="2"/>
  <c r="S30" i="2"/>
  <c r="S31" i="2"/>
  <c r="R30" i="2"/>
  <c r="R31" i="2"/>
  <c r="Q30" i="2"/>
  <c r="Q31" i="2"/>
  <c r="P30" i="2"/>
  <c r="P31" i="2"/>
  <c r="O30" i="2"/>
  <c r="O31" i="2"/>
  <c r="U28" i="2"/>
  <c r="U29" i="2"/>
  <c r="T28" i="2"/>
  <c r="T29" i="2"/>
  <c r="S28" i="2"/>
  <c r="S29" i="2"/>
  <c r="R28" i="2"/>
  <c r="R29" i="2"/>
  <c r="Q28" i="2"/>
  <c r="Q29" i="2"/>
  <c r="P28" i="2"/>
  <c r="P29" i="2"/>
  <c r="O28" i="2"/>
  <c r="O29" i="2"/>
  <c r="N28" i="2"/>
  <c r="B28" i="2"/>
  <c r="B29" i="2"/>
  <c r="B30" i="2"/>
  <c r="L30" i="2"/>
  <c r="B31" i="2"/>
  <c r="U33" i="2"/>
  <c r="T33" i="2"/>
  <c r="S33" i="2"/>
  <c r="R33" i="2"/>
  <c r="Q33" i="2"/>
  <c r="P33" i="2"/>
  <c r="O33" i="2"/>
  <c r="U34" i="2"/>
  <c r="T34" i="2"/>
  <c r="S34" i="2"/>
  <c r="R34" i="2"/>
  <c r="Q34" i="2"/>
  <c r="P34" i="2"/>
  <c r="O34" i="2"/>
  <c r="I68" i="2"/>
  <c r="J68" i="2"/>
  <c r="A3" i="2"/>
  <c r="L69" i="2"/>
  <c r="I22" i="2"/>
  <c r="C13" i="2"/>
  <c r="C14" i="2" s="1"/>
  <c r="D13" i="2"/>
  <c r="C8" i="2"/>
  <c r="D4" i="2"/>
  <c r="J3" i="2"/>
  <c r="D3" i="2"/>
  <c r="I2" i="2"/>
  <c r="H2" i="2"/>
  <c r="G2" i="2"/>
  <c r="D2" i="2"/>
  <c r="C2" i="2"/>
  <c r="E2" i="4"/>
  <c r="H2" i="4"/>
  <c r="B70" i="4" s="1"/>
  <c r="B6" i="4"/>
  <c r="D6" i="4" s="1"/>
  <c r="E6" i="4" s="1"/>
  <c r="P6" i="4" s="1"/>
  <c r="B122" i="4"/>
  <c r="J122" i="4" s="1"/>
  <c r="B2" i="4"/>
  <c r="B3" i="4"/>
  <c r="G59" i="6"/>
  <c r="G58" i="6"/>
  <c r="AB8" i="4"/>
  <c r="AB9" i="4" s="1"/>
  <c r="AB10" i="4" s="1"/>
  <c r="AB25" i="4" s="1"/>
  <c r="AB21" i="4"/>
  <c r="AC9" i="4"/>
  <c r="AC10" i="4" s="1"/>
  <c r="AC21" i="4"/>
  <c r="AC22" i="4" s="1"/>
  <c r="AD9" i="4"/>
  <c r="H59" i="6" s="1"/>
  <c r="AD10" i="4"/>
  <c r="AD25" i="4" s="1"/>
  <c r="AD21" i="4"/>
  <c r="AB7" i="4"/>
  <c r="AG14" i="4"/>
  <c r="AG15" i="4"/>
  <c r="AG16" i="4"/>
  <c r="AG13" i="4"/>
  <c r="AI9" i="4"/>
  <c r="H35" i="6" s="1"/>
  <c r="AH9" i="4"/>
  <c r="AH16" i="4" s="1"/>
  <c r="AH8" i="4"/>
  <c r="AH15" i="4" s="1"/>
  <c r="AI8" i="4"/>
  <c r="AI15" i="4" s="1"/>
  <c r="AJ15" i="4" s="1"/>
  <c r="AK15" i="4" s="1"/>
  <c r="AL15" i="4" s="1"/>
  <c r="AM15" i="4" s="1"/>
  <c r="AN15" i="4" s="1"/>
  <c r="AO15" i="4" s="1"/>
  <c r="AP15" i="4" s="1"/>
  <c r="AQ15" i="4" s="1"/>
  <c r="AR15" i="4" s="1"/>
  <c r="AS15" i="4" s="1"/>
  <c r="AT15" i="4" s="1"/>
  <c r="AU15" i="4" s="1"/>
  <c r="AV15" i="4" s="1"/>
  <c r="AW15" i="4" s="1"/>
  <c r="AX15" i="4" s="1"/>
  <c r="AY15" i="4" s="1"/>
  <c r="AI7" i="4"/>
  <c r="AJ7" i="4" s="1"/>
  <c r="AH7" i="4"/>
  <c r="AH6" i="4"/>
  <c r="AI6" i="4"/>
  <c r="AI13" i="4" s="1"/>
  <c r="AJ13" i="4" s="1"/>
  <c r="AK13" i="4" s="1"/>
  <c r="AL13" i="4" s="1"/>
  <c r="AM13" i="4" s="1"/>
  <c r="AN13" i="4" s="1"/>
  <c r="AO13" i="4" s="1"/>
  <c r="AP13" i="4" s="1"/>
  <c r="AQ13" i="4" s="1"/>
  <c r="AR13" i="4" s="1"/>
  <c r="AS13" i="4" s="1"/>
  <c r="AT13" i="4" s="1"/>
  <c r="AU13" i="4" s="1"/>
  <c r="AV13" i="4" s="1"/>
  <c r="AW13" i="4" s="1"/>
  <c r="AX13" i="4" s="1"/>
  <c r="AY13" i="4" s="1"/>
  <c r="I117" i="3"/>
  <c r="I116" i="3"/>
  <c r="I115" i="3"/>
  <c r="I114" i="3"/>
  <c r="I113" i="3"/>
  <c r="I112" i="3"/>
  <c r="I111" i="3"/>
  <c r="I110" i="3"/>
  <c r="I109" i="3"/>
  <c r="I108" i="3"/>
  <c r="I107" i="3"/>
  <c r="I106" i="3"/>
  <c r="I102" i="3"/>
  <c r="E102" i="3"/>
  <c r="I101" i="3"/>
  <c r="E101" i="3"/>
  <c r="I100" i="3"/>
  <c r="E100" i="3"/>
  <c r="I99" i="3"/>
  <c r="E99" i="3"/>
  <c r="I98" i="3"/>
  <c r="E98" i="3"/>
  <c r="I97" i="3"/>
  <c r="E97" i="3"/>
  <c r="I96" i="3"/>
  <c r="E96" i="3"/>
  <c r="I95" i="3"/>
  <c r="E95" i="3"/>
  <c r="I94" i="3"/>
  <c r="E94" i="3"/>
  <c r="I93" i="3"/>
  <c r="E93" i="3"/>
  <c r="I77" i="3"/>
  <c r="I76" i="3"/>
  <c r="I75" i="3"/>
  <c r="I74" i="3"/>
  <c r="I73" i="3"/>
  <c r="I72" i="3"/>
  <c r="I71" i="3"/>
  <c r="I70" i="3"/>
  <c r="I69" i="3"/>
  <c r="I68" i="3"/>
  <c r="I67" i="3"/>
  <c r="I66" i="3"/>
  <c r="I62" i="3"/>
  <c r="E62" i="3"/>
  <c r="I61" i="3"/>
  <c r="E61" i="3"/>
  <c r="I60" i="3"/>
  <c r="E60" i="3"/>
  <c r="I59" i="3"/>
  <c r="E59" i="3"/>
  <c r="I58" i="3"/>
  <c r="E58" i="3"/>
  <c r="I57" i="3"/>
  <c r="E57" i="3"/>
  <c r="I56" i="3"/>
  <c r="E56" i="3"/>
  <c r="I55" i="3"/>
  <c r="E55" i="3"/>
  <c r="I54" i="3"/>
  <c r="E54" i="3"/>
  <c r="I53" i="3"/>
  <c r="E53" i="3"/>
  <c r="I36" i="3"/>
  <c r="I35" i="3"/>
  <c r="I34" i="3"/>
  <c r="I33" i="3"/>
  <c r="I32" i="3"/>
  <c r="I31" i="3"/>
  <c r="I30" i="3"/>
  <c r="I29" i="3"/>
  <c r="I28" i="3"/>
  <c r="I27" i="3"/>
  <c r="I26" i="3"/>
  <c r="I25" i="3"/>
  <c r="I21" i="3"/>
  <c r="I20" i="3"/>
  <c r="I19" i="3"/>
  <c r="I18" i="3"/>
  <c r="I17" i="3"/>
  <c r="I16" i="3"/>
  <c r="I15" i="3"/>
  <c r="I14" i="3"/>
  <c r="I13" i="3"/>
  <c r="I12" i="3"/>
  <c r="J12" i="3" s="1"/>
  <c r="E13" i="10"/>
  <c r="E14" i="10"/>
  <c r="E15" i="10"/>
  <c r="E16" i="10"/>
  <c r="E17" i="10"/>
  <c r="E18" i="10"/>
  <c r="E19" i="10"/>
  <c r="E20" i="10"/>
  <c r="E21" i="10"/>
  <c r="E12" i="10"/>
  <c r="A3" i="6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2" i="10"/>
  <c r="E102" i="10"/>
  <c r="I101" i="10"/>
  <c r="E101" i="10"/>
  <c r="I100" i="10"/>
  <c r="E100" i="10"/>
  <c r="I99" i="10"/>
  <c r="E99" i="10"/>
  <c r="I98" i="10"/>
  <c r="E98" i="10"/>
  <c r="I97" i="10"/>
  <c r="E97" i="10"/>
  <c r="I96" i="10"/>
  <c r="E96" i="10"/>
  <c r="I95" i="10"/>
  <c r="E95" i="10"/>
  <c r="I94" i="10"/>
  <c r="E94" i="10"/>
  <c r="I93" i="10"/>
  <c r="E93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2" i="10"/>
  <c r="E62" i="10"/>
  <c r="I61" i="10"/>
  <c r="E61" i="10"/>
  <c r="I60" i="10"/>
  <c r="E60" i="10"/>
  <c r="I59" i="10"/>
  <c r="E59" i="10"/>
  <c r="I58" i="10"/>
  <c r="E58" i="10"/>
  <c r="I57" i="10"/>
  <c r="E57" i="10"/>
  <c r="I56" i="10"/>
  <c r="E56" i="10"/>
  <c r="I55" i="10"/>
  <c r="E55" i="10"/>
  <c r="I54" i="10"/>
  <c r="E54" i="10"/>
  <c r="I53" i="10"/>
  <c r="E53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1" i="10"/>
  <c r="I20" i="10"/>
  <c r="I19" i="10"/>
  <c r="I18" i="10"/>
  <c r="I17" i="10"/>
  <c r="I16" i="10"/>
  <c r="I15" i="10"/>
  <c r="I14" i="10"/>
  <c r="I13" i="10"/>
  <c r="I12" i="10"/>
  <c r="J12" i="10" s="1"/>
  <c r="I73" i="6"/>
  <c r="F62" i="6"/>
  <c r="B4" i="8"/>
  <c r="B3" i="8"/>
  <c r="B2" i="8"/>
  <c r="B1" i="8"/>
  <c r="B2" i="7"/>
  <c r="B1" i="7"/>
  <c r="D57" i="7"/>
  <c r="D66" i="7"/>
  <c r="B4" i="7"/>
  <c r="B3" i="7"/>
  <c r="C39" i="7"/>
  <c r="C38" i="7"/>
  <c r="F76" i="6"/>
  <c r="X48" i="4"/>
  <c r="W48" i="4"/>
  <c r="V48" i="4"/>
  <c r="X45" i="4"/>
  <c r="W45" i="4"/>
  <c r="V45" i="4"/>
  <c r="R73" i="6"/>
  <c r="Q73" i="6"/>
  <c r="P73" i="6"/>
  <c r="O73" i="6"/>
  <c r="N73" i="6"/>
  <c r="M73" i="6"/>
  <c r="L73" i="6"/>
  <c r="K73" i="6"/>
  <c r="J73" i="6"/>
  <c r="R56" i="6"/>
  <c r="R60" i="6" s="1"/>
  <c r="Q56" i="6"/>
  <c r="P56" i="6"/>
  <c r="O56" i="6"/>
  <c r="N56" i="6"/>
  <c r="M56" i="6"/>
  <c r="L56" i="6"/>
  <c r="K56" i="6"/>
  <c r="J56" i="6"/>
  <c r="J60" i="6" s="1"/>
  <c r="I56" i="6"/>
  <c r="S56" i="6" s="1"/>
  <c r="R55" i="6"/>
  <c r="Q55" i="6"/>
  <c r="P55" i="6"/>
  <c r="O55" i="6"/>
  <c r="O60" i="6" s="1"/>
  <c r="N55" i="6"/>
  <c r="M55" i="6"/>
  <c r="L55" i="6"/>
  <c r="L60" i="6" s="1"/>
  <c r="K55" i="6"/>
  <c r="J55" i="6"/>
  <c r="I55" i="6"/>
  <c r="S49" i="6"/>
  <c r="S44" i="6"/>
  <c r="S43" i="6"/>
  <c r="S42" i="6"/>
  <c r="G35" i="6"/>
  <c r="G34" i="6"/>
  <c r="B28" i="6"/>
  <c r="A28" i="6"/>
  <c r="AD28" i="6" s="1"/>
  <c r="I45" i="6" s="1"/>
  <c r="I22" i="6"/>
  <c r="I17" i="6"/>
  <c r="T28" i="6" s="1"/>
  <c r="D13" i="6"/>
  <c r="C13" i="6"/>
  <c r="C14" i="6" s="1"/>
  <c r="C8" i="6"/>
  <c r="D4" i="6"/>
  <c r="J3" i="6"/>
  <c r="D3" i="6"/>
  <c r="I2" i="6"/>
  <c r="H2" i="6"/>
  <c r="G2" i="6"/>
  <c r="D2" i="6"/>
  <c r="C2" i="6"/>
  <c r="L32" i="6"/>
  <c r="Q33" i="6"/>
  <c r="O32" i="6"/>
  <c r="M34" i="6"/>
  <c r="X56" i="4"/>
  <c r="W56" i="4"/>
  <c r="V56" i="4"/>
  <c r="X55" i="4"/>
  <c r="W55" i="4"/>
  <c r="V55" i="4"/>
  <c r="X54" i="4"/>
  <c r="W54" i="4"/>
  <c r="V54" i="4"/>
  <c r="X53" i="4"/>
  <c r="W53" i="4"/>
  <c r="V53" i="4"/>
  <c r="X52" i="4"/>
  <c r="W52" i="4"/>
  <c r="V52" i="4"/>
  <c r="X50" i="4"/>
  <c r="W50" i="4"/>
  <c r="V50" i="4"/>
  <c r="X49" i="4"/>
  <c r="W49" i="4"/>
  <c r="V49" i="4"/>
  <c r="X47" i="4"/>
  <c r="W47" i="4"/>
  <c r="V47" i="4"/>
  <c r="X44" i="4"/>
  <c r="W44" i="4"/>
  <c r="V44" i="4"/>
  <c r="X42" i="4"/>
  <c r="W42" i="4"/>
  <c r="T24" i="4" s="1"/>
  <c r="V42" i="4"/>
  <c r="AD34" i="4"/>
  <c r="AB34" i="4"/>
  <c r="AD32" i="4"/>
  <c r="AB32" i="4"/>
  <c r="AD30" i="4"/>
  <c r="AB30" i="4"/>
  <c r="AD28" i="4"/>
  <c r="AB28" i="4"/>
  <c r="AD26" i="4"/>
  <c r="AB26" i="4"/>
  <c r="AD24" i="4"/>
  <c r="AB24" i="4"/>
  <c r="AD22" i="4"/>
  <c r="AB22" i="4"/>
  <c r="AD20" i="4"/>
  <c r="AB20" i="4"/>
  <c r="AD18" i="4"/>
  <c r="AB18" i="4"/>
  <c r="AD17" i="4"/>
  <c r="AC17" i="4"/>
  <c r="AC18" i="4" s="1"/>
  <c r="AB17" i="4"/>
  <c r="X12" i="4"/>
  <c r="W12" i="4"/>
  <c r="V12" i="4"/>
  <c r="U12" i="4"/>
  <c r="T12" i="4"/>
  <c r="T26" i="4"/>
  <c r="AD19" i="4"/>
  <c r="T30" i="4"/>
  <c r="AB19" i="4"/>
  <c r="W23" i="4"/>
  <c r="W27" i="4"/>
  <c r="AC19" i="4"/>
  <c r="AC20" i="4" s="1"/>
  <c r="V29" i="4"/>
  <c r="E3" i="4"/>
  <c r="F6" i="10" s="1"/>
  <c r="AB36" i="4"/>
  <c r="AB38" i="4"/>
  <c r="AE36" i="4"/>
  <c r="V32" i="4"/>
  <c r="U14" i="4"/>
  <c r="X32" i="4"/>
  <c r="W5" i="4"/>
  <c r="W32" i="4"/>
  <c r="U5" i="4"/>
  <c r="AC38" i="4"/>
  <c r="AC40" i="4"/>
  <c r="AF36" i="4"/>
  <c r="T5" i="4"/>
  <c r="V5" i="4"/>
  <c r="T59" i="4"/>
  <c r="AD38" i="4"/>
  <c r="U32" i="4"/>
  <c r="AY29" i="2" l="1"/>
  <c r="AS29" i="2"/>
  <c r="AZ29" i="2"/>
  <c r="AP29" i="2"/>
  <c r="AF29" i="2"/>
  <c r="AF30" i="2"/>
  <c r="AE29" i="2"/>
  <c r="AD29" i="2"/>
  <c r="AU29" i="2"/>
  <c r="AT29" i="2"/>
  <c r="AH29" i="2"/>
  <c r="N30" i="2"/>
  <c r="L43" i="2"/>
  <c r="BV43" i="2" s="1"/>
  <c r="BV44" i="2" s="1"/>
  <c r="BV45" i="2" s="1"/>
  <c r="BV63" i="2" s="1"/>
  <c r="K63" i="2"/>
  <c r="K69" i="2"/>
  <c r="K71" i="2" s="1"/>
  <c r="L61" i="2"/>
  <c r="AZ28" i="2"/>
  <c r="Y28" i="2"/>
  <c r="J71" i="2"/>
  <c r="AG29" i="2"/>
  <c r="AV29" i="2"/>
  <c r="AQ29" i="2"/>
  <c r="W29" i="2"/>
  <c r="AW29" i="2"/>
  <c r="AQ28" i="2"/>
  <c r="AA28" i="2"/>
  <c r="N29" i="2"/>
  <c r="AR29" i="2"/>
  <c r="AC29" i="2"/>
  <c r="AV28" i="2"/>
  <c r="AO28" i="2"/>
  <c r="AI28" i="2"/>
  <c r="AL28" i="2"/>
  <c r="AE28" i="2"/>
  <c r="AW28" i="2"/>
  <c r="M31" i="2"/>
  <c r="AG28" i="2"/>
  <c r="AJ28" i="2"/>
  <c r="AM28" i="2"/>
  <c r="M28" i="2"/>
  <c r="Z28" i="2"/>
  <c r="N34" i="2"/>
  <c r="AC28" i="2"/>
  <c r="AU28" i="2"/>
  <c r="AX28" i="2"/>
  <c r="W28" i="2"/>
  <c r="AF28" i="2"/>
  <c r="AP28" i="2"/>
  <c r="N31" i="2"/>
  <c r="AR28" i="2"/>
  <c r="AK30" i="2"/>
  <c r="AN28" i="2"/>
  <c r="M34" i="2"/>
  <c r="M32" i="2"/>
  <c r="M33" i="2"/>
  <c r="M29" i="2"/>
  <c r="AR30" i="2"/>
  <c r="AP30" i="2"/>
  <c r="AS28" i="2"/>
  <c r="AT28" i="2"/>
  <c r="AA29" i="2"/>
  <c r="AB28" i="2"/>
  <c r="AX29" i="2"/>
  <c r="AO30" i="2"/>
  <c r="AN30" i="2"/>
  <c r="AI30" i="2"/>
  <c r="AM30" i="2"/>
  <c r="M30" i="2"/>
  <c r="R33" i="6"/>
  <c r="AI28" i="6"/>
  <c r="N45" i="6" s="1"/>
  <c r="N57" i="6" s="1"/>
  <c r="K35" i="6"/>
  <c r="H33" i="6"/>
  <c r="N33" i="6"/>
  <c r="AG28" i="6"/>
  <c r="L45" i="6" s="1"/>
  <c r="L57" i="6" s="1"/>
  <c r="R34" i="6"/>
  <c r="K34" i="6"/>
  <c r="BC28" i="6"/>
  <c r="N47" i="6" s="1"/>
  <c r="N59" i="6" s="1"/>
  <c r="O35" i="6"/>
  <c r="Q32" i="6"/>
  <c r="AE28" i="6"/>
  <c r="J45" i="6" s="1"/>
  <c r="J57" i="6" s="1"/>
  <c r="J34" i="6"/>
  <c r="H34" i="6"/>
  <c r="K60" i="6"/>
  <c r="AJ8" i="4"/>
  <c r="AC23" i="4"/>
  <c r="AC24" i="4" s="1"/>
  <c r="M32" i="6"/>
  <c r="M33" i="6"/>
  <c r="BD28" i="6"/>
  <c r="O47" i="6" s="1"/>
  <c r="O59" i="6" s="1"/>
  <c r="O34" i="6"/>
  <c r="I34" i="6"/>
  <c r="P32" i="6"/>
  <c r="AZ28" i="6"/>
  <c r="K47" i="6" s="1"/>
  <c r="K59" i="6" s="1"/>
  <c r="B110" i="4"/>
  <c r="J110" i="4" s="1"/>
  <c r="X29" i="2"/>
  <c r="AI29" i="2"/>
  <c r="AK29" i="2"/>
  <c r="AM29" i="2"/>
  <c r="AN29" i="2"/>
  <c r="AO29" i="2"/>
  <c r="AJ29" i="2"/>
  <c r="AL29" i="2"/>
  <c r="Y29" i="2"/>
  <c r="Z29" i="2"/>
  <c r="C70" i="4"/>
  <c r="F70" i="4"/>
  <c r="U25" i="4"/>
  <c r="L31" i="2"/>
  <c r="AJ31" i="2"/>
  <c r="AL31" i="2"/>
  <c r="AR31" i="2"/>
  <c r="Q6" i="4"/>
  <c r="U23" i="4"/>
  <c r="X26" i="4"/>
  <c r="V23" i="4"/>
  <c r="T28" i="4"/>
  <c r="G57" i="6"/>
  <c r="B102" i="4"/>
  <c r="AZ30" i="2"/>
  <c r="W31" i="2"/>
  <c r="AS31" i="2"/>
  <c r="AJ30" i="2"/>
  <c r="AL30" i="2"/>
  <c r="AX31" i="2"/>
  <c r="AY31" i="2"/>
  <c r="X28" i="4"/>
  <c r="O6" i="4"/>
  <c r="U30" i="4"/>
  <c r="X25" i="4"/>
  <c r="X23" i="4"/>
  <c r="X24" i="4"/>
  <c r="U24" i="4"/>
  <c r="J42" i="2"/>
  <c r="W30" i="2"/>
  <c r="AS30" i="2"/>
  <c r="AU31" i="2"/>
  <c r="AV31" i="2"/>
  <c r="AW31" i="2"/>
  <c r="AX30" i="2"/>
  <c r="AY30" i="2"/>
  <c r="AK31" i="2"/>
  <c r="W25" i="4"/>
  <c r="W28" i="4"/>
  <c r="W26" i="4"/>
  <c r="W24" i="4"/>
  <c r="W29" i="4"/>
  <c r="V24" i="4"/>
  <c r="I32" i="6"/>
  <c r="BA28" i="6"/>
  <c r="L47" i="6" s="1"/>
  <c r="L59" i="6" s="1"/>
  <c r="Q35" i="6"/>
  <c r="AX28" i="6"/>
  <c r="I47" i="6" s="1"/>
  <c r="I59" i="6" s="1"/>
  <c r="O33" i="6"/>
  <c r="O36" i="6" s="1"/>
  <c r="H32" i="6"/>
  <c r="B90" i="4"/>
  <c r="AG31" i="2"/>
  <c r="X31" i="2"/>
  <c r="AT31" i="2"/>
  <c r="AU30" i="2"/>
  <c r="AV30" i="2"/>
  <c r="AW30" i="2"/>
  <c r="AE31" i="2"/>
  <c r="AM31" i="2"/>
  <c r="T27" i="4"/>
  <c r="V26" i="4"/>
  <c r="U28" i="4"/>
  <c r="V25" i="4"/>
  <c r="T25" i="4"/>
  <c r="N35" i="6"/>
  <c r="L33" i="6"/>
  <c r="AM28" i="6"/>
  <c r="R45" i="6" s="1"/>
  <c r="R57" i="6" s="1"/>
  <c r="M35" i="6"/>
  <c r="M36" i="6" s="1"/>
  <c r="R32" i="6"/>
  <c r="AL28" i="6"/>
  <c r="Q45" i="6" s="1"/>
  <c r="Q57" i="6" s="1"/>
  <c r="P60" i="6"/>
  <c r="N60" i="6"/>
  <c r="AD11" i="4"/>
  <c r="H58" i="6"/>
  <c r="AF31" i="2"/>
  <c r="AG30" i="2"/>
  <c r="X30" i="2"/>
  <c r="AT30" i="2"/>
  <c r="AA31" i="2"/>
  <c r="AC31" i="2"/>
  <c r="AD31" i="2"/>
  <c r="AE30" i="2"/>
  <c r="L6" i="4"/>
  <c r="AI31" i="2"/>
  <c r="U27" i="4"/>
  <c r="U29" i="4"/>
  <c r="U26" i="4"/>
  <c r="T29" i="4"/>
  <c r="T23" i="4"/>
  <c r="L35" i="6"/>
  <c r="J33" i="6"/>
  <c r="I35" i="6"/>
  <c r="AJ28" i="6"/>
  <c r="O45" i="6" s="1"/>
  <c r="O57" i="6" s="1"/>
  <c r="N32" i="6"/>
  <c r="AH28" i="6"/>
  <c r="M45" i="6" s="1"/>
  <c r="M57" i="6" s="1"/>
  <c r="Q60" i="6"/>
  <c r="AD23" i="4"/>
  <c r="AB11" i="4"/>
  <c r="B78" i="4"/>
  <c r="AP31" i="2"/>
  <c r="AQ31" i="2"/>
  <c r="AH31" i="2"/>
  <c r="Y31" i="2"/>
  <c r="Z31" i="2"/>
  <c r="AA30" i="2"/>
  <c r="AB31" i="2"/>
  <c r="AC30" i="2"/>
  <c r="AD30" i="2"/>
  <c r="L70" i="2"/>
  <c r="M6" i="4"/>
  <c r="D122" i="4"/>
  <c r="E122" i="4" s="1"/>
  <c r="X29" i="4"/>
  <c r="V28" i="4"/>
  <c r="V30" i="4"/>
  <c r="J35" i="6"/>
  <c r="Q34" i="6"/>
  <c r="BG28" i="6"/>
  <c r="R47" i="6" s="1"/>
  <c r="R59" i="6" s="1"/>
  <c r="AK28" i="6"/>
  <c r="P45" i="6" s="1"/>
  <c r="P57" i="6" s="1"/>
  <c r="P34" i="6"/>
  <c r="AF28" i="6"/>
  <c r="K45" i="6" s="1"/>
  <c r="K57" i="6" s="1"/>
  <c r="J32" i="6"/>
  <c r="AI14" i="4"/>
  <c r="AJ14" i="4" s="1"/>
  <c r="AK14" i="4" s="1"/>
  <c r="AL14" i="4" s="1"/>
  <c r="AM14" i="4" s="1"/>
  <c r="AN14" i="4" s="1"/>
  <c r="AO14" i="4" s="1"/>
  <c r="AP14" i="4" s="1"/>
  <c r="AQ14" i="4" s="1"/>
  <c r="AR14" i="4" s="1"/>
  <c r="AS14" i="4" s="1"/>
  <c r="AT14" i="4" s="1"/>
  <c r="AU14" i="4" s="1"/>
  <c r="AV14" i="4" s="1"/>
  <c r="AW14" i="4" s="1"/>
  <c r="AX14" i="4" s="1"/>
  <c r="AY14" i="4" s="1"/>
  <c r="AB23" i="4"/>
  <c r="AZ31" i="2"/>
  <c r="J41" i="2"/>
  <c r="AQ30" i="2"/>
  <c r="AH30" i="2"/>
  <c r="Y30" i="2"/>
  <c r="Z30" i="2"/>
  <c r="AN31" i="2"/>
  <c r="AC11" i="4"/>
  <c r="AC25" i="4"/>
  <c r="AC26" i="4" s="1"/>
  <c r="Q122" i="4"/>
  <c r="K122" i="4"/>
  <c r="J37" i="2"/>
  <c r="K6" i="4"/>
  <c r="N6" i="4"/>
  <c r="G33" i="6"/>
  <c r="AH14" i="4"/>
  <c r="F110" i="4"/>
  <c r="C110" i="4"/>
  <c r="D110" i="4"/>
  <c r="E110" i="4" s="1"/>
  <c r="J70" i="4"/>
  <c r="D70" i="4"/>
  <c r="E70" i="4" s="1"/>
  <c r="S73" i="6"/>
  <c r="J102" i="4"/>
  <c r="C102" i="4"/>
  <c r="F102" i="4"/>
  <c r="D102" i="4"/>
  <c r="E102" i="4" s="1"/>
  <c r="I57" i="6"/>
  <c r="I71" i="2"/>
  <c r="L68" i="2"/>
  <c r="F122" i="4"/>
  <c r="C122" i="4"/>
  <c r="J6" i="4"/>
  <c r="F6" i="4"/>
  <c r="C6" i="4"/>
  <c r="X30" i="4"/>
  <c r="W30" i="4"/>
  <c r="B69" i="4"/>
  <c r="B73" i="4"/>
  <c r="B77" i="4"/>
  <c r="B81" i="4"/>
  <c r="B85" i="4"/>
  <c r="B89" i="4"/>
  <c r="B93" i="4"/>
  <c r="B97" i="4"/>
  <c r="B101" i="4"/>
  <c r="B105" i="4"/>
  <c r="B109" i="4"/>
  <c r="B113" i="4"/>
  <c r="B117" i="4"/>
  <c r="B121" i="4"/>
  <c r="B125" i="4"/>
  <c r="B7" i="4"/>
  <c r="B67" i="4"/>
  <c r="B71" i="4"/>
  <c r="B75" i="4"/>
  <c r="B79" i="4"/>
  <c r="B83" i="4"/>
  <c r="B87" i="4"/>
  <c r="B91" i="4"/>
  <c r="B95" i="4"/>
  <c r="B99" i="4"/>
  <c r="B103" i="4"/>
  <c r="B107" i="4"/>
  <c r="B111" i="4"/>
  <c r="B115" i="4"/>
  <c r="B119" i="4"/>
  <c r="B123" i="4"/>
  <c r="B8" i="4"/>
  <c r="B68" i="4"/>
  <c r="B72" i="4"/>
  <c r="B76" i="4"/>
  <c r="B80" i="4"/>
  <c r="B84" i="4"/>
  <c r="B88" i="4"/>
  <c r="B92" i="4"/>
  <c r="B96" i="4"/>
  <c r="B100" i="4"/>
  <c r="B104" i="4"/>
  <c r="B108" i="4"/>
  <c r="B112" i="4"/>
  <c r="B116" i="4"/>
  <c r="B120" i="4"/>
  <c r="B124" i="4"/>
  <c r="B82" i="4"/>
  <c r="B114" i="4"/>
  <c r="AD36" i="4"/>
  <c r="V59" i="4"/>
  <c r="T14" i="4"/>
  <c r="U59" i="4"/>
  <c r="V14" i="4"/>
  <c r="B94" i="4"/>
  <c r="AF38" i="4"/>
  <c r="W14" i="4"/>
  <c r="X59" i="4"/>
  <c r="AF40" i="4"/>
  <c r="W59" i="4"/>
  <c r="B74" i="4"/>
  <c r="B106" i="4"/>
  <c r="AE38" i="4"/>
  <c r="AC36" i="4"/>
  <c r="X14" i="4"/>
  <c r="AD40" i="4"/>
  <c r="B86" i="4"/>
  <c r="B118" i="4"/>
  <c r="X5" i="4"/>
  <c r="AE40" i="4"/>
  <c r="T32" i="4"/>
  <c r="AB40" i="4"/>
  <c r="B66" i="4"/>
  <c r="B98" i="4"/>
  <c r="V27" i="4"/>
  <c r="X27" i="4"/>
  <c r="S55" i="6"/>
  <c r="AJ9" i="4"/>
  <c r="AI16" i="4"/>
  <c r="AJ16" i="4" s="1"/>
  <c r="AK16" i="4" s="1"/>
  <c r="AL16" i="4" s="1"/>
  <c r="AM16" i="4" s="1"/>
  <c r="AN16" i="4" s="1"/>
  <c r="AO16" i="4" s="1"/>
  <c r="AP16" i="4" s="1"/>
  <c r="AQ16" i="4" s="1"/>
  <c r="AR16" i="4" s="1"/>
  <c r="AS16" i="4" s="1"/>
  <c r="AT16" i="4" s="1"/>
  <c r="AU16" i="4" s="1"/>
  <c r="AV16" i="4" s="1"/>
  <c r="AW16" i="4" s="1"/>
  <c r="AX16" i="4" s="1"/>
  <c r="AY16" i="4" s="1"/>
  <c r="L29" i="2"/>
  <c r="I60" i="6"/>
  <c r="S60" i="6" s="1"/>
  <c r="R35" i="6"/>
  <c r="R36" i="6" s="1"/>
  <c r="N34" i="6"/>
  <c r="N36" i="6" s="1"/>
  <c r="BF28" i="6"/>
  <c r="Q47" i="6" s="1"/>
  <c r="Q59" i="6" s="1"/>
  <c r="L34" i="6"/>
  <c r="K33" i="6"/>
  <c r="BB28" i="6"/>
  <c r="M47" i="6" s="1"/>
  <c r="M59" i="6" s="1"/>
  <c r="I33" i="6"/>
  <c r="AY28" i="6"/>
  <c r="J47" i="6" s="1"/>
  <c r="J59" i="6" s="1"/>
  <c r="BE28" i="6"/>
  <c r="P47" i="6" s="1"/>
  <c r="P59" i="6" s="1"/>
  <c r="K32" i="6"/>
  <c r="P33" i="6"/>
  <c r="P36" i="6" s="1"/>
  <c r="P35" i="6"/>
  <c r="M60" i="6"/>
  <c r="G32" i="6"/>
  <c r="AH13" i="4"/>
  <c r="H57" i="6"/>
  <c r="AJ6" i="4"/>
  <c r="I42" i="2"/>
  <c r="I41" i="2"/>
  <c r="L62" i="2" l="1"/>
  <c r="L71" i="2"/>
  <c r="L42" i="2"/>
  <c r="S45" i="6"/>
  <c r="Q36" i="6"/>
  <c r="D78" i="4"/>
  <c r="E78" i="4" s="1"/>
  <c r="J78" i="4"/>
  <c r="F78" i="4"/>
  <c r="C78" i="4"/>
  <c r="J36" i="6"/>
  <c r="AB27" i="4"/>
  <c r="AB12" i="4"/>
  <c r="L41" i="2"/>
  <c r="S35" i="6"/>
  <c r="S34" i="6"/>
  <c r="D90" i="4"/>
  <c r="E90" i="4" s="1"/>
  <c r="F90" i="4"/>
  <c r="C90" i="4"/>
  <c r="J90" i="4"/>
  <c r="J44" i="2"/>
  <c r="J45" i="2" s="1"/>
  <c r="J63" i="2" s="1"/>
  <c r="J72" i="2" s="1"/>
  <c r="I70" i="4"/>
  <c r="H70" i="4"/>
  <c r="G70" i="4"/>
  <c r="S57" i="6"/>
  <c r="AD27" i="4"/>
  <c r="AD12" i="4"/>
  <c r="M122" i="4"/>
  <c r="O122" i="4"/>
  <c r="N122" i="4"/>
  <c r="L122" i="4"/>
  <c r="P122" i="4"/>
  <c r="D66" i="4"/>
  <c r="E66" i="4" s="1"/>
  <c r="J66" i="4"/>
  <c r="F66" i="4"/>
  <c r="C66" i="4"/>
  <c r="J82" i="4"/>
  <c r="D82" i="4"/>
  <c r="E82" i="4" s="1"/>
  <c r="F82" i="4"/>
  <c r="C82" i="4"/>
  <c r="J104" i="4"/>
  <c r="D104" i="4"/>
  <c r="E104" i="4" s="1"/>
  <c r="F104" i="4"/>
  <c r="C104" i="4"/>
  <c r="J72" i="4"/>
  <c r="D72" i="4"/>
  <c r="E72" i="4" s="1"/>
  <c r="F72" i="4"/>
  <c r="C72" i="4"/>
  <c r="J8" i="4"/>
  <c r="D8" i="4"/>
  <c r="E8" i="4" s="1"/>
  <c r="C8" i="4"/>
  <c r="F8" i="4"/>
  <c r="J95" i="4"/>
  <c r="F95" i="4"/>
  <c r="C95" i="4"/>
  <c r="D95" i="4"/>
  <c r="E95" i="4" s="1"/>
  <c r="D121" i="4"/>
  <c r="E121" i="4" s="1"/>
  <c r="J121" i="4"/>
  <c r="F121" i="4"/>
  <c r="C121" i="4"/>
  <c r="D89" i="4"/>
  <c r="E89" i="4" s="1"/>
  <c r="J89" i="4"/>
  <c r="F89" i="4"/>
  <c r="C89" i="4"/>
  <c r="S47" i="6"/>
  <c r="J100" i="4"/>
  <c r="F100" i="4"/>
  <c r="C100" i="4"/>
  <c r="D100" i="4"/>
  <c r="E100" i="4" s="1"/>
  <c r="J68" i="4"/>
  <c r="D68" i="4"/>
  <c r="E68" i="4" s="1"/>
  <c r="F68" i="4"/>
  <c r="C68" i="4"/>
  <c r="J123" i="4"/>
  <c r="D123" i="4"/>
  <c r="E123" i="4" s="1"/>
  <c r="F123" i="4"/>
  <c r="C123" i="4"/>
  <c r="J91" i="4"/>
  <c r="C91" i="4"/>
  <c r="D91" i="4"/>
  <c r="E91" i="4" s="1"/>
  <c r="F91" i="4"/>
  <c r="J117" i="4"/>
  <c r="D117" i="4"/>
  <c r="E117" i="4" s="1"/>
  <c r="F117" i="4"/>
  <c r="C117" i="4"/>
  <c r="J85" i="4"/>
  <c r="D85" i="4"/>
  <c r="E85" i="4" s="1"/>
  <c r="F85" i="4"/>
  <c r="C85" i="4"/>
  <c r="S59" i="6"/>
  <c r="J96" i="4"/>
  <c r="F96" i="4"/>
  <c r="C96" i="4"/>
  <c r="D96" i="4"/>
  <c r="E96" i="4" s="1"/>
  <c r="J119" i="4"/>
  <c r="D119" i="4"/>
  <c r="E119" i="4" s="1"/>
  <c r="F119" i="4"/>
  <c r="C119" i="4"/>
  <c r="J87" i="4"/>
  <c r="D87" i="4"/>
  <c r="E87" i="4" s="1"/>
  <c r="C87" i="4"/>
  <c r="F87" i="4"/>
  <c r="F113" i="4"/>
  <c r="C113" i="4"/>
  <c r="J113" i="4"/>
  <c r="D113" i="4"/>
  <c r="E113" i="4" s="1"/>
  <c r="C81" i="4"/>
  <c r="F81" i="4"/>
  <c r="D81" i="4"/>
  <c r="E81" i="4" s="1"/>
  <c r="J81" i="4"/>
  <c r="I6" i="4"/>
  <c r="H6" i="4"/>
  <c r="G6" i="4"/>
  <c r="I44" i="2"/>
  <c r="K36" i="6"/>
  <c r="S32" i="6"/>
  <c r="J124" i="4"/>
  <c r="F124" i="4"/>
  <c r="C124" i="4"/>
  <c r="D124" i="4"/>
  <c r="E124" i="4" s="1"/>
  <c r="J92" i="4"/>
  <c r="D92" i="4"/>
  <c r="E92" i="4" s="1"/>
  <c r="F92" i="4"/>
  <c r="C92" i="4"/>
  <c r="J115" i="4"/>
  <c r="D115" i="4"/>
  <c r="E115" i="4" s="1"/>
  <c r="C115" i="4"/>
  <c r="F115" i="4"/>
  <c r="J83" i="4"/>
  <c r="D83" i="4"/>
  <c r="E83" i="4" s="1"/>
  <c r="C83" i="4"/>
  <c r="F83" i="4"/>
  <c r="D109" i="4"/>
  <c r="E109" i="4" s="1"/>
  <c r="J109" i="4"/>
  <c r="C109" i="4"/>
  <c r="F109" i="4"/>
  <c r="J77" i="4"/>
  <c r="C77" i="4"/>
  <c r="F77" i="4"/>
  <c r="D77" i="4"/>
  <c r="E77" i="4" s="1"/>
  <c r="O70" i="4"/>
  <c r="K70" i="4"/>
  <c r="L70" i="4"/>
  <c r="M70" i="4"/>
  <c r="N70" i="4"/>
  <c r="Q70" i="4"/>
  <c r="P70" i="4"/>
  <c r="J120" i="4"/>
  <c r="C120" i="4"/>
  <c r="F120" i="4"/>
  <c r="D120" i="4"/>
  <c r="E120" i="4" s="1"/>
  <c r="J88" i="4"/>
  <c r="C88" i="4"/>
  <c r="D88" i="4"/>
  <c r="E88" i="4" s="1"/>
  <c r="F88" i="4"/>
  <c r="J111" i="4"/>
  <c r="C111" i="4"/>
  <c r="D111" i="4"/>
  <c r="E111" i="4" s="1"/>
  <c r="F111" i="4"/>
  <c r="J79" i="4"/>
  <c r="F79" i="4"/>
  <c r="D79" i="4"/>
  <c r="E79" i="4" s="1"/>
  <c r="C79" i="4"/>
  <c r="J105" i="4"/>
  <c r="D105" i="4"/>
  <c r="E105" i="4" s="1"/>
  <c r="F105" i="4"/>
  <c r="C105" i="4"/>
  <c r="J73" i="4"/>
  <c r="D73" i="4"/>
  <c r="E73" i="4" s="1"/>
  <c r="C73" i="4"/>
  <c r="F73" i="4"/>
  <c r="B9" i="4"/>
  <c r="J116" i="4"/>
  <c r="D116" i="4"/>
  <c r="E116" i="4" s="1"/>
  <c r="F116" i="4"/>
  <c r="C116" i="4"/>
  <c r="J84" i="4"/>
  <c r="F84" i="4"/>
  <c r="C84" i="4"/>
  <c r="D84" i="4"/>
  <c r="E84" i="4" s="1"/>
  <c r="J107" i="4"/>
  <c r="C107" i="4"/>
  <c r="F107" i="4"/>
  <c r="D107" i="4"/>
  <c r="E107" i="4" s="1"/>
  <c r="J75" i="4"/>
  <c r="F75" i="4"/>
  <c r="C75" i="4"/>
  <c r="D75" i="4"/>
  <c r="E75" i="4" s="1"/>
  <c r="D101" i="4"/>
  <c r="E101" i="4" s="1"/>
  <c r="C101" i="4"/>
  <c r="F101" i="4"/>
  <c r="J101" i="4"/>
  <c r="J69" i="4"/>
  <c r="D69" i="4"/>
  <c r="E69" i="4" s="1"/>
  <c r="C69" i="4"/>
  <c r="F69" i="4"/>
  <c r="L36" i="6"/>
  <c r="G122" i="4"/>
  <c r="H122" i="4"/>
  <c r="I122" i="4"/>
  <c r="O102" i="4"/>
  <c r="P102" i="4"/>
  <c r="N102" i="4"/>
  <c r="L102" i="4"/>
  <c r="Q102" i="4"/>
  <c r="M102" i="4"/>
  <c r="K102" i="4"/>
  <c r="O110" i="4"/>
  <c r="K110" i="4"/>
  <c r="N110" i="4"/>
  <c r="M110" i="4"/>
  <c r="P110" i="4"/>
  <c r="Q110" i="4"/>
  <c r="L110" i="4"/>
  <c r="AC27" i="4"/>
  <c r="AC28" i="4" s="1"/>
  <c r="AC12" i="4"/>
  <c r="I36" i="6"/>
  <c r="S36" i="6" s="1"/>
  <c r="S33" i="6"/>
  <c r="F118" i="4"/>
  <c r="C118" i="4"/>
  <c r="J118" i="4"/>
  <c r="D118" i="4"/>
  <c r="E118" i="4" s="1"/>
  <c r="C106" i="4"/>
  <c r="J106" i="4"/>
  <c r="D106" i="4"/>
  <c r="E106" i="4" s="1"/>
  <c r="F106" i="4"/>
  <c r="J112" i="4"/>
  <c r="D112" i="4"/>
  <c r="E112" i="4" s="1"/>
  <c r="C112" i="4"/>
  <c r="F112" i="4"/>
  <c r="J80" i="4"/>
  <c r="D80" i="4"/>
  <c r="E80" i="4" s="1"/>
  <c r="C80" i="4"/>
  <c r="F80" i="4"/>
  <c r="J103" i="4"/>
  <c r="D103" i="4"/>
  <c r="E103" i="4" s="1"/>
  <c r="C103" i="4"/>
  <c r="F103" i="4"/>
  <c r="J71" i="4"/>
  <c r="D71" i="4"/>
  <c r="E71" i="4" s="1"/>
  <c r="C71" i="4"/>
  <c r="F71" i="4"/>
  <c r="J7" i="4"/>
  <c r="F7" i="4"/>
  <c r="C7" i="4"/>
  <c r="D7" i="4"/>
  <c r="E7" i="4" s="1"/>
  <c r="C97" i="4"/>
  <c r="F97" i="4"/>
  <c r="J97" i="4"/>
  <c r="D97" i="4"/>
  <c r="E97" i="4" s="1"/>
  <c r="C98" i="4"/>
  <c r="F98" i="4"/>
  <c r="J98" i="4"/>
  <c r="D98" i="4"/>
  <c r="E98" i="4" s="1"/>
  <c r="D86" i="4"/>
  <c r="E86" i="4" s="1"/>
  <c r="J86" i="4"/>
  <c r="C86" i="4"/>
  <c r="F86" i="4"/>
  <c r="F74" i="4"/>
  <c r="C74" i="4"/>
  <c r="J74" i="4"/>
  <c r="D74" i="4"/>
  <c r="E74" i="4" s="1"/>
  <c r="F94" i="4"/>
  <c r="C94" i="4"/>
  <c r="J94" i="4"/>
  <c r="D94" i="4"/>
  <c r="E94" i="4" s="1"/>
  <c r="F114" i="4"/>
  <c r="J114" i="4"/>
  <c r="D114" i="4"/>
  <c r="E114" i="4" s="1"/>
  <c r="C114" i="4"/>
  <c r="J108" i="4"/>
  <c r="D108" i="4"/>
  <c r="E108" i="4" s="1"/>
  <c r="F108" i="4"/>
  <c r="C108" i="4"/>
  <c r="J76" i="4"/>
  <c r="C76" i="4"/>
  <c r="F76" i="4"/>
  <c r="D76" i="4"/>
  <c r="E76" i="4" s="1"/>
  <c r="J99" i="4"/>
  <c r="D99" i="4"/>
  <c r="E99" i="4" s="1"/>
  <c r="F99" i="4"/>
  <c r="C99" i="4"/>
  <c r="J67" i="4"/>
  <c r="D67" i="4"/>
  <c r="E67" i="4" s="1"/>
  <c r="F67" i="4"/>
  <c r="C67" i="4"/>
  <c r="J125" i="4"/>
  <c r="D125" i="4"/>
  <c r="E125" i="4" s="1"/>
  <c r="F125" i="4"/>
  <c r="C125" i="4"/>
  <c r="J93" i="4"/>
  <c r="F93" i="4"/>
  <c r="C93" i="4"/>
  <c r="D93" i="4"/>
  <c r="E93" i="4" s="1"/>
  <c r="I102" i="4"/>
  <c r="H102" i="4"/>
  <c r="G102" i="4"/>
  <c r="H110" i="4"/>
  <c r="G110" i="4"/>
  <c r="I110" i="4"/>
  <c r="L37" i="2"/>
  <c r="K72" i="2" l="1"/>
  <c r="K73" i="2" s="1"/>
  <c r="K75" i="2" s="1"/>
  <c r="K76" i="2"/>
  <c r="L44" i="2"/>
  <c r="J20" i="2"/>
  <c r="J76" i="2"/>
  <c r="I90" i="4"/>
  <c r="H90" i="4"/>
  <c r="G90" i="4"/>
  <c r="M90" i="4"/>
  <c r="Q90" i="4"/>
  <c r="N90" i="4"/>
  <c r="K90" i="4"/>
  <c r="O90" i="4"/>
  <c r="P90" i="4"/>
  <c r="L90" i="4"/>
  <c r="G78" i="4"/>
  <c r="I78" i="4"/>
  <c r="H78" i="4"/>
  <c r="N78" i="4"/>
  <c r="L78" i="4"/>
  <c r="P78" i="4"/>
  <c r="M78" i="4"/>
  <c r="O78" i="4"/>
  <c r="K78" i="4"/>
  <c r="Q78" i="4"/>
  <c r="AD29" i="4"/>
  <c r="AD13" i="4"/>
  <c r="AB13" i="4"/>
  <c r="AB29" i="4"/>
  <c r="I77" i="4"/>
  <c r="H77" i="4"/>
  <c r="G77" i="4"/>
  <c r="H92" i="4"/>
  <c r="G92" i="4"/>
  <c r="I92" i="4"/>
  <c r="G87" i="4"/>
  <c r="I87" i="4"/>
  <c r="H87" i="4"/>
  <c r="L96" i="4"/>
  <c r="Q96" i="4"/>
  <c r="O96" i="4"/>
  <c r="M96" i="4"/>
  <c r="P96" i="4"/>
  <c r="N96" i="4"/>
  <c r="K96" i="4"/>
  <c r="N95" i="4"/>
  <c r="K95" i="4"/>
  <c r="O95" i="4"/>
  <c r="M95" i="4"/>
  <c r="P95" i="4"/>
  <c r="L95" i="4"/>
  <c r="Q95" i="4"/>
  <c r="N94" i="4"/>
  <c r="L94" i="4"/>
  <c r="K94" i="4"/>
  <c r="O94" i="4"/>
  <c r="M94" i="4"/>
  <c r="P94" i="4"/>
  <c r="Q94" i="4"/>
  <c r="I86" i="4"/>
  <c r="G86" i="4"/>
  <c r="H86" i="4"/>
  <c r="H97" i="4"/>
  <c r="G97" i="4"/>
  <c r="I97" i="4"/>
  <c r="K71" i="4"/>
  <c r="N71" i="4"/>
  <c r="M71" i="4"/>
  <c r="Q71" i="4"/>
  <c r="L71" i="4"/>
  <c r="O71" i="4"/>
  <c r="P71" i="4"/>
  <c r="O80" i="4"/>
  <c r="K80" i="4"/>
  <c r="N80" i="4"/>
  <c r="M80" i="4"/>
  <c r="Q80" i="4"/>
  <c r="P80" i="4"/>
  <c r="L80" i="4"/>
  <c r="AC13" i="4"/>
  <c r="AC29" i="4"/>
  <c r="AC30" i="4" s="1"/>
  <c r="L107" i="4"/>
  <c r="M107" i="4"/>
  <c r="K107" i="4"/>
  <c r="O107" i="4"/>
  <c r="P107" i="4"/>
  <c r="Q107" i="4"/>
  <c r="N107" i="4"/>
  <c r="K83" i="4"/>
  <c r="L83" i="4"/>
  <c r="P83" i="4"/>
  <c r="Q83" i="4"/>
  <c r="M83" i="4"/>
  <c r="N83" i="4"/>
  <c r="O83" i="4"/>
  <c r="N92" i="4"/>
  <c r="M92" i="4"/>
  <c r="L92" i="4"/>
  <c r="K92" i="4"/>
  <c r="P92" i="4"/>
  <c r="Q92" i="4"/>
  <c r="O92" i="4"/>
  <c r="P81" i="4"/>
  <c r="O81" i="4"/>
  <c r="K81" i="4"/>
  <c r="M81" i="4"/>
  <c r="Q81" i="4"/>
  <c r="L81" i="4"/>
  <c r="N81" i="4"/>
  <c r="L100" i="4"/>
  <c r="P100" i="4"/>
  <c r="M100" i="4"/>
  <c r="N100" i="4"/>
  <c r="Q100" i="4"/>
  <c r="K100" i="4"/>
  <c r="O100" i="4"/>
  <c r="G89" i="4"/>
  <c r="H89" i="4"/>
  <c r="I89" i="4"/>
  <c r="I72" i="4"/>
  <c r="H72" i="4"/>
  <c r="G72" i="4"/>
  <c r="I82" i="4"/>
  <c r="G82" i="4"/>
  <c r="H82" i="4"/>
  <c r="G125" i="4"/>
  <c r="H125" i="4"/>
  <c r="I125" i="4"/>
  <c r="H99" i="4"/>
  <c r="G99" i="4"/>
  <c r="I99" i="4"/>
  <c r="G108" i="4"/>
  <c r="I108" i="4"/>
  <c r="H108" i="4"/>
  <c r="I101" i="4"/>
  <c r="H101" i="4"/>
  <c r="G101" i="4"/>
  <c r="G107" i="4"/>
  <c r="I107" i="4"/>
  <c r="H107" i="4"/>
  <c r="H116" i="4"/>
  <c r="G116" i="4"/>
  <c r="I116" i="4"/>
  <c r="G111" i="4"/>
  <c r="I111" i="4"/>
  <c r="H111" i="4"/>
  <c r="P120" i="4"/>
  <c r="K120" i="4"/>
  <c r="M120" i="4"/>
  <c r="L120" i="4"/>
  <c r="Q120" i="4"/>
  <c r="O120" i="4"/>
  <c r="N120" i="4"/>
  <c r="G81" i="4"/>
  <c r="H81" i="4"/>
  <c r="I81" i="4"/>
  <c r="M87" i="4"/>
  <c r="P87" i="4"/>
  <c r="Q87" i="4"/>
  <c r="L87" i="4"/>
  <c r="K87" i="4"/>
  <c r="O87" i="4"/>
  <c r="N87" i="4"/>
  <c r="H96" i="4"/>
  <c r="G96" i="4"/>
  <c r="I96" i="4"/>
  <c r="I117" i="4"/>
  <c r="G117" i="4"/>
  <c r="H117" i="4"/>
  <c r="H123" i="4"/>
  <c r="I123" i="4"/>
  <c r="G123" i="4"/>
  <c r="I95" i="4"/>
  <c r="G95" i="4"/>
  <c r="H95" i="4"/>
  <c r="K72" i="4"/>
  <c r="L72" i="4"/>
  <c r="Q72" i="4"/>
  <c r="N72" i="4"/>
  <c r="O72" i="4"/>
  <c r="P72" i="4"/>
  <c r="M72" i="4"/>
  <c r="L82" i="4"/>
  <c r="N82" i="4"/>
  <c r="O82" i="4"/>
  <c r="K82" i="4"/>
  <c r="Q82" i="4"/>
  <c r="P82" i="4"/>
  <c r="M82" i="4"/>
  <c r="H114" i="4"/>
  <c r="I114" i="4"/>
  <c r="G114" i="4"/>
  <c r="L106" i="4"/>
  <c r="O106" i="4"/>
  <c r="P106" i="4"/>
  <c r="K106" i="4"/>
  <c r="M106" i="4"/>
  <c r="N106" i="4"/>
  <c r="Q106" i="4"/>
  <c r="O99" i="4"/>
  <c r="L99" i="4"/>
  <c r="Q99" i="4"/>
  <c r="K99" i="4"/>
  <c r="N99" i="4"/>
  <c r="P99" i="4"/>
  <c r="M99" i="4"/>
  <c r="K108" i="4"/>
  <c r="M108" i="4"/>
  <c r="O108" i="4"/>
  <c r="L108" i="4"/>
  <c r="P108" i="4"/>
  <c r="Q108" i="4"/>
  <c r="N108" i="4"/>
  <c r="N7" i="4"/>
  <c r="O7" i="4"/>
  <c r="K7" i="4"/>
  <c r="Q7" i="4"/>
  <c r="M7" i="4"/>
  <c r="L7" i="4"/>
  <c r="P7" i="4"/>
  <c r="G103" i="4"/>
  <c r="H103" i="4"/>
  <c r="I103" i="4"/>
  <c r="H112" i="4"/>
  <c r="I112" i="4"/>
  <c r="G112" i="4"/>
  <c r="N118" i="4"/>
  <c r="Q118" i="4"/>
  <c r="O118" i="4"/>
  <c r="P118" i="4"/>
  <c r="K118" i="4"/>
  <c r="L118" i="4"/>
  <c r="M118" i="4"/>
  <c r="O116" i="4"/>
  <c r="Q116" i="4"/>
  <c r="L116" i="4"/>
  <c r="K116" i="4"/>
  <c r="P116" i="4"/>
  <c r="N116" i="4"/>
  <c r="M116" i="4"/>
  <c r="I105" i="4"/>
  <c r="G105" i="4"/>
  <c r="H105" i="4"/>
  <c r="K111" i="4"/>
  <c r="Q111" i="4"/>
  <c r="O111" i="4"/>
  <c r="L111" i="4"/>
  <c r="N111" i="4"/>
  <c r="M111" i="4"/>
  <c r="P111" i="4"/>
  <c r="G120" i="4"/>
  <c r="H120" i="4"/>
  <c r="I120" i="4"/>
  <c r="G109" i="4"/>
  <c r="H109" i="4"/>
  <c r="I109" i="4"/>
  <c r="G115" i="4"/>
  <c r="H115" i="4"/>
  <c r="I115" i="4"/>
  <c r="M124" i="4"/>
  <c r="N124" i="4"/>
  <c r="K124" i="4"/>
  <c r="Q124" i="4"/>
  <c r="L124" i="4"/>
  <c r="P124" i="4"/>
  <c r="O124" i="4"/>
  <c r="P117" i="4"/>
  <c r="Q117" i="4"/>
  <c r="K117" i="4"/>
  <c r="M117" i="4"/>
  <c r="L117" i="4"/>
  <c r="O117" i="4"/>
  <c r="N117" i="4"/>
  <c r="L123" i="4"/>
  <c r="P123" i="4"/>
  <c r="Q123" i="4"/>
  <c r="K123" i="4"/>
  <c r="O123" i="4"/>
  <c r="N123" i="4"/>
  <c r="M123" i="4"/>
  <c r="G100" i="4"/>
  <c r="H100" i="4"/>
  <c r="I100" i="4"/>
  <c r="K89" i="4"/>
  <c r="N89" i="4"/>
  <c r="O89" i="4"/>
  <c r="M89" i="4"/>
  <c r="P89" i="4"/>
  <c r="Q89" i="4"/>
  <c r="L89" i="4"/>
  <c r="H74" i="4"/>
  <c r="I74" i="4"/>
  <c r="G74" i="4"/>
  <c r="M73" i="4"/>
  <c r="Q73" i="4"/>
  <c r="N73" i="4"/>
  <c r="L73" i="4"/>
  <c r="K73" i="4"/>
  <c r="P73" i="4"/>
  <c r="O73" i="4"/>
  <c r="I94" i="4"/>
  <c r="G94" i="4"/>
  <c r="H94" i="4"/>
  <c r="O86" i="4"/>
  <c r="M86" i="4"/>
  <c r="Q86" i="4"/>
  <c r="K86" i="4"/>
  <c r="N86" i="4"/>
  <c r="P86" i="4"/>
  <c r="L86" i="4"/>
  <c r="P101" i="4"/>
  <c r="L101" i="4"/>
  <c r="M101" i="4"/>
  <c r="O101" i="4"/>
  <c r="K101" i="4"/>
  <c r="N101" i="4"/>
  <c r="Q101" i="4"/>
  <c r="Q105" i="4"/>
  <c r="M105" i="4"/>
  <c r="N105" i="4"/>
  <c r="K105" i="4"/>
  <c r="P105" i="4"/>
  <c r="L105" i="4"/>
  <c r="O105" i="4"/>
  <c r="I45" i="2"/>
  <c r="L45" i="2" s="1"/>
  <c r="L63" i="2" s="1"/>
  <c r="L113" i="4"/>
  <c r="P113" i="4"/>
  <c r="O113" i="4"/>
  <c r="Q113" i="4"/>
  <c r="N113" i="4"/>
  <c r="M113" i="4"/>
  <c r="K113" i="4"/>
  <c r="H8" i="4"/>
  <c r="I8" i="4"/>
  <c r="G8" i="4"/>
  <c r="I79" i="4"/>
  <c r="G79" i="4"/>
  <c r="H79" i="4"/>
  <c r="P93" i="4"/>
  <c r="Q93" i="4"/>
  <c r="K93" i="4"/>
  <c r="M93" i="4"/>
  <c r="L93" i="4"/>
  <c r="N93" i="4"/>
  <c r="O93" i="4"/>
  <c r="O76" i="4"/>
  <c r="K76" i="4"/>
  <c r="L76" i="4"/>
  <c r="N76" i="4"/>
  <c r="P76" i="4"/>
  <c r="M76" i="4"/>
  <c r="Q76" i="4"/>
  <c r="M74" i="4"/>
  <c r="Q74" i="4"/>
  <c r="L74" i="4"/>
  <c r="O74" i="4"/>
  <c r="N74" i="4"/>
  <c r="K74" i="4"/>
  <c r="P74" i="4"/>
  <c r="N98" i="4"/>
  <c r="K98" i="4"/>
  <c r="L98" i="4"/>
  <c r="O98" i="4"/>
  <c r="Q98" i="4"/>
  <c r="M98" i="4"/>
  <c r="P98" i="4"/>
  <c r="I7" i="4"/>
  <c r="H7" i="4"/>
  <c r="G7" i="4"/>
  <c r="M103" i="4"/>
  <c r="P103" i="4"/>
  <c r="L103" i="4"/>
  <c r="O103" i="4"/>
  <c r="Q103" i="4"/>
  <c r="K103" i="4"/>
  <c r="N103" i="4"/>
  <c r="L112" i="4"/>
  <c r="O112" i="4"/>
  <c r="K112" i="4"/>
  <c r="M112" i="4"/>
  <c r="Q112" i="4"/>
  <c r="P112" i="4"/>
  <c r="N112" i="4"/>
  <c r="H69" i="4"/>
  <c r="G69" i="4"/>
  <c r="I69" i="4"/>
  <c r="K75" i="4"/>
  <c r="O75" i="4"/>
  <c r="P75" i="4"/>
  <c r="M75" i="4"/>
  <c r="N75" i="4"/>
  <c r="Q75" i="4"/>
  <c r="L75" i="4"/>
  <c r="M84" i="4"/>
  <c r="L84" i="4"/>
  <c r="Q84" i="4"/>
  <c r="N84" i="4"/>
  <c r="O84" i="4"/>
  <c r="K84" i="4"/>
  <c r="P84" i="4"/>
  <c r="J9" i="4"/>
  <c r="D9" i="4"/>
  <c r="E9" i="4" s="1"/>
  <c r="F9" i="4"/>
  <c r="C9" i="4"/>
  <c r="B10" i="4"/>
  <c r="M115" i="4"/>
  <c r="L115" i="4"/>
  <c r="O115" i="4"/>
  <c r="N115" i="4"/>
  <c r="Q115" i="4"/>
  <c r="K115" i="4"/>
  <c r="P115" i="4"/>
  <c r="H124" i="4"/>
  <c r="G124" i="4"/>
  <c r="I124" i="4"/>
  <c r="H119" i="4"/>
  <c r="I119" i="4"/>
  <c r="G119" i="4"/>
  <c r="G91" i="4"/>
  <c r="I91" i="4"/>
  <c r="H91" i="4"/>
  <c r="G121" i="4"/>
  <c r="H121" i="4"/>
  <c r="I121" i="4"/>
  <c r="I104" i="4"/>
  <c r="G104" i="4"/>
  <c r="H104" i="4"/>
  <c r="G66" i="4"/>
  <c r="H66" i="4"/>
  <c r="I66" i="4"/>
  <c r="L125" i="4"/>
  <c r="N125" i="4"/>
  <c r="K125" i="4"/>
  <c r="M125" i="4"/>
  <c r="Q125" i="4"/>
  <c r="P125" i="4"/>
  <c r="O125" i="4"/>
  <c r="H67" i="4"/>
  <c r="G67" i="4"/>
  <c r="I67" i="4"/>
  <c r="M114" i="4"/>
  <c r="Q114" i="4"/>
  <c r="P114" i="4"/>
  <c r="L114" i="4"/>
  <c r="O114" i="4"/>
  <c r="N114" i="4"/>
  <c r="K114" i="4"/>
  <c r="I118" i="4"/>
  <c r="H118" i="4"/>
  <c r="G118" i="4"/>
  <c r="I73" i="4"/>
  <c r="G73" i="4"/>
  <c r="H73" i="4"/>
  <c r="I88" i="4"/>
  <c r="H88" i="4"/>
  <c r="G88" i="4"/>
  <c r="L109" i="4"/>
  <c r="M109" i="4"/>
  <c r="O109" i="4"/>
  <c r="N109" i="4"/>
  <c r="Q109" i="4"/>
  <c r="P109" i="4"/>
  <c r="K109" i="4"/>
  <c r="L119" i="4"/>
  <c r="P119" i="4"/>
  <c r="K119" i="4"/>
  <c r="O119" i="4"/>
  <c r="Q119" i="4"/>
  <c r="N119" i="4"/>
  <c r="M119" i="4"/>
  <c r="G85" i="4"/>
  <c r="I85" i="4"/>
  <c r="H85" i="4"/>
  <c r="L91" i="4"/>
  <c r="N91" i="4"/>
  <c r="K91" i="4"/>
  <c r="O91" i="4"/>
  <c r="P91" i="4"/>
  <c r="M91" i="4"/>
  <c r="Q91" i="4"/>
  <c r="G68" i="4"/>
  <c r="H68" i="4"/>
  <c r="I68" i="4"/>
  <c r="L8" i="4"/>
  <c r="M8" i="4"/>
  <c r="O8" i="4"/>
  <c r="K8" i="4"/>
  <c r="N8" i="4"/>
  <c r="P8" i="4"/>
  <c r="Q8" i="4"/>
  <c r="Q104" i="4"/>
  <c r="P104" i="4"/>
  <c r="M104" i="4"/>
  <c r="L104" i="4"/>
  <c r="O104" i="4"/>
  <c r="K104" i="4"/>
  <c r="N104" i="4"/>
  <c r="I76" i="4"/>
  <c r="H76" i="4"/>
  <c r="G76" i="4"/>
  <c r="H93" i="4"/>
  <c r="I93" i="4"/>
  <c r="G93" i="4"/>
  <c r="N67" i="4"/>
  <c r="Q67" i="4"/>
  <c r="K67" i="4"/>
  <c r="O67" i="4"/>
  <c r="L67" i="4"/>
  <c r="P67" i="4"/>
  <c r="M67" i="4"/>
  <c r="G98" i="4"/>
  <c r="H98" i="4"/>
  <c r="I98" i="4"/>
  <c r="O97" i="4"/>
  <c r="Q97" i="4"/>
  <c r="P97" i="4"/>
  <c r="K97" i="4"/>
  <c r="M97" i="4"/>
  <c r="N97" i="4"/>
  <c r="L97" i="4"/>
  <c r="H71" i="4"/>
  <c r="I71" i="4"/>
  <c r="G71" i="4"/>
  <c r="G80" i="4"/>
  <c r="I80" i="4"/>
  <c r="H80" i="4"/>
  <c r="I106" i="4"/>
  <c r="G106" i="4"/>
  <c r="H106" i="4"/>
  <c r="K69" i="4"/>
  <c r="L69" i="4"/>
  <c r="P69" i="4"/>
  <c r="Q69" i="4"/>
  <c r="M69" i="4"/>
  <c r="N69" i="4"/>
  <c r="O69" i="4"/>
  <c r="H75" i="4"/>
  <c r="G75" i="4"/>
  <c r="I75" i="4"/>
  <c r="I84" i="4"/>
  <c r="H84" i="4"/>
  <c r="G84" i="4"/>
  <c r="M79" i="4"/>
  <c r="N79" i="4"/>
  <c r="K79" i="4"/>
  <c r="O79" i="4"/>
  <c r="P79" i="4"/>
  <c r="L79" i="4"/>
  <c r="Q79" i="4"/>
  <c r="P88" i="4"/>
  <c r="Q88" i="4"/>
  <c r="L88" i="4"/>
  <c r="M88" i="4"/>
  <c r="K88" i="4"/>
  <c r="N88" i="4"/>
  <c r="O88" i="4"/>
  <c r="Q77" i="4"/>
  <c r="L77" i="4"/>
  <c r="M77" i="4"/>
  <c r="P77" i="4"/>
  <c r="N77" i="4"/>
  <c r="K77" i="4"/>
  <c r="O77" i="4"/>
  <c r="G83" i="4"/>
  <c r="H83" i="4"/>
  <c r="I83" i="4"/>
  <c r="H113" i="4"/>
  <c r="G113" i="4"/>
  <c r="I113" i="4"/>
  <c r="O85" i="4"/>
  <c r="K85" i="4"/>
  <c r="Q85" i="4"/>
  <c r="L85" i="4"/>
  <c r="P85" i="4"/>
  <c r="N85" i="4"/>
  <c r="M85" i="4"/>
  <c r="N68" i="4"/>
  <c r="O68" i="4"/>
  <c r="K68" i="4"/>
  <c r="M68" i="4"/>
  <c r="Q68" i="4"/>
  <c r="P68" i="4"/>
  <c r="L68" i="4"/>
  <c r="P121" i="4"/>
  <c r="O121" i="4"/>
  <c r="K121" i="4"/>
  <c r="M121" i="4"/>
  <c r="L121" i="4"/>
  <c r="Q121" i="4"/>
  <c r="N121" i="4"/>
  <c r="L66" i="4"/>
  <c r="N66" i="4"/>
  <c r="P66" i="4"/>
  <c r="M66" i="4"/>
  <c r="Q66" i="4"/>
  <c r="O66" i="4"/>
  <c r="K66" i="4"/>
  <c r="K77" i="2" l="1"/>
  <c r="I63" i="2"/>
  <c r="I72" i="2" s="1"/>
  <c r="J73" i="2"/>
  <c r="J19" i="2" s="1"/>
  <c r="J21" i="2" s="1"/>
  <c r="AB14" i="4"/>
  <c r="AB33" i="4" s="1"/>
  <c r="AB31" i="4"/>
  <c r="AD31" i="4"/>
  <c r="AD14" i="4"/>
  <c r="AD33" i="4" s="1"/>
  <c r="I9" i="4"/>
  <c r="G9" i="4"/>
  <c r="H9" i="4"/>
  <c r="M9" i="4"/>
  <c r="L9" i="4"/>
  <c r="O9" i="4"/>
  <c r="P9" i="4"/>
  <c r="Q9" i="4"/>
  <c r="N9" i="4"/>
  <c r="K9" i="4"/>
  <c r="AC31" i="4"/>
  <c r="AC32" i="4" s="1"/>
  <c r="AC14" i="4"/>
  <c r="AC33" i="4" s="1"/>
  <c r="AC34" i="4" s="1"/>
  <c r="J10" i="4"/>
  <c r="F10" i="4"/>
  <c r="C10" i="4"/>
  <c r="D10" i="4"/>
  <c r="E10" i="4" s="1"/>
  <c r="B11" i="4"/>
  <c r="I73" i="2" l="1"/>
  <c r="L73" i="2" s="1"/>
  <c r="BV73" i="2" s="1"/>
  <c r="L72" i="2"/>
  <c r="BV72" i="2" s="1"/>
  <c r="J75" i="2"/>
  <c r="J77" i="2" s="1"/>
  <c r="O10" i="4"/>
  <c r="L10" i="4"/>
  <c r="N10" i="4"/>
  <c r="M10" i="4"/>
  <c r="Q10" i="4"/>
  <c r="K10" i="4"/>
  <c r="P10" i="4"/>
  <c r="I10" i="4"/>
  <c r="G10" i="4"/>
  <c r="H10" i="4"/>
  <c r="I20" i="2"/>
  <c r="L20" i="2" s="1"/>
  <c r="I76" i="2"/>
  <c r="L76" i="2" s="1"/>
  <c r="BV76" i="2" s="1"/>
  <c r="J11" i="4"/>
  <c r="F11" i="4"/>
  <c r="C11" i="4"/>
  <c r="D11" i="4"/>
  <c r="E11" i="4" s="1"/>
  <c r="B12" i="4"/>
  <c r="J12" i="4" l="1"/>
  <c r="F12" i="4"/>
  <c r="D12" i="4"/>
  <c r="E12" i="4" s="1"/>
  <c r="C12" i="4"/>
  <c r="B13" i="4"/>
  <c r="O11" i="4"/>
  <c r="P11" i="4"/>
  <c r="Q11" i="4"/>
  <c r="M11" i="4"/>
  <c r="L11" i="4"/>
  <c r="K11" i="4"/>
  <c r="N11" i="4"/>
  <c r="G11" i="4"/>
  <c r="H11" i="4"/>
  <c r="I11" i="4"/>
  <c r="J14" i="2"/>
  <c r="D14" i="2"/>
  <c r="L14" i="2"/>
  <c r="I14" i="2"/>
  <c r="H14" i="2"/>
  <c r="G14" i="2"/>
  <c r="Q12" i="4" l="1"/>
  <c r="P12" i="4"/>
  <c r="K12" i="4"/>
  <c r="O12" i="4"/>
  <c r="N12" i="4"/>
  <c r="M12" i="4"/>
  <c r="L12" i="4"/>
  <c r="G12" i="4"/>
  <c r="I12" i="4"/>
  <c r="H12" i="4"/>
  <c r="I19" i="2"/>
  <c r="I75" i="2"/>
  <c r="L75" i="2" s="1"/>
  <c r="BV75" i="2" s="1"/>
  <c r="J13" i="4"/>
  <c r="B14" i="4"/>
  <c r="F13" i="4"/>
  <c r="C13" i="4"/>
  <c r="D13" i="4"/>
  <c r="E13" i="4" s="1"/>
  <c r="G13" i="4" l="1"/>
  <c r="H13" i="4"/>
  <c r="I13" i="4"/>
  <c r="M13" i="4"/>
  <c r="N13" i="4"/>
  <c r="K13" i="4"/>
  <c r="P13" i="4"/>
  <c r="Q13" i="4"/>
  <c r="L13" i="4"/>
  <c r="O13" i="4"/>
  <c r="J14" i="4"/>
  <c r="F14" i="4"/>
  <c r="C14" i="4"/>
  <c r="D14" i="4"/>
  <c r="E14" i="4" s="1"/>
  <c r="B15" i="4"/>
  <c r="I77" i="2"/>
  <c r="L77" i="2" s="1"/>
  <c r="BV77" i="2" s="1"/>
  <c r="L19" i="2"/>
  <c r="I21" i="2"/>
  <c r="L21" i="2" s="1"/>
  <c r="J15" i="4" l="1"/>
  <c r="F15" i="4"/>
  <c r="C15" i="4"/>
  <c r="D15" i="4"/>
  <c r="E15" i="4" s="1"/>
  <c r="B16" i="4"/>
  <c r="O14" i="4"/>
  <c r="M14" i="4"/>
  <c r="P14" i="4"/>
  <c r="K14" i="4"/>
  <c r="N14" i="4"/>
  <c r="Q14" i="4"/>
  <c r="L14" i="4"/>
  <c r="G14" i="4"/>
  <c r="H14" i="4"/>
  <c r="I14" i="4"/>
  <c r="L9" i="2"/>
  <c r="G9" i="2"/>
  <c r="D9" i="2"/>
  <c r="C9" i="2"/>
  <c r="D8" i="2"/>
  <c r="J9" i="2"/>
  <c r="I9" i="2"/>
  <c r="H9" i="2"/>
  <c r="J16" i="4" l="1"/>
  <c r="F16" i="4"/>
  <c r="C16" i="4"/>
  <c r="D16" i="4"/>
  <c r="E16" i="4" s="1"/>
  <c r="B17" i="4"/>
  <c r="M15" i="4"/>
  <c r="K15" i="4"/>
  <c r="L15" i="4"/>
  <c r="Q15" i="4"/>
  <c r="P15" i="4"/>
  <c r="N15" i="4"/>
  <c r="O15" i="4"/>
  <c r="H15" i="4"/>
  <c r="I15" i="4"/>
  <c r="G15" i="4"/>
  <c r="J17" i="4" l="1"/>
  <c r="D17" i="4"/>
  <c r="E17" i="4" s="1"/>
  <c r="F17" i="4"/>
  <c r="C17" i="4"/>
  <c r="B18" i="4"/>
  <c r="H16" i="4"/>
  <c r="I16" i="4"/>
  <c r="G16" i="4"/>
  <c r="Q16" i="4"/>
  <c r="P16" i="4"/>
  <c r="M16" i="4"/>
  <c r="K16" i="4"/>
  <c r="N16" i="4"/>
  <c r="L16" i="4"/>
  <c r="O16" i="4"/>
  <c r="H17" i="4" l="1"/>
  <c r="I17" i="4"/>
  <c r="G17" i="4"/>
  <c r="J18" i="4"/>
  <c r="F18" i="4"/>
  <c r="C18" i="4"/>
  <c r="D18" i="4"/>
  <c r="E18" i="4" s="1"/>
  <c r="B19" i="4"/>
  <c r="M17" i="4"/>
  <c r="P17" i="4"/>
  <c r="L17" i="4"/>
  <c r="Q17" i="4"/>
  <c r="K17" i="4"/>
  <c r="O17" i="4"/>
  <c r="N17" i="4"/>
  <c r="T64" i="4"/>
  <c r="T62" i="4"/>
  <c r="T63" i="4"/>
  <c r="T19" i="4"/>
  <c r="T60" i="4"/>
  <c r="T18" i="4"/>
  <c r="T15" i="4"/>
  <c r="T16" i="4"/>
  <c r="T17" i="4"/>
  <c r="T61" i="4"/>
  <c r="T40" i="4" l="1"/>
  <c r="T34" i="4"/>
  <c r="T39" i="4"/>
  <c r="T20" i="4"/>
  <c r="T65" i="4"/>
  <c r="J19" i="4"/>
  <c r="C19" i="4"/>
  <c r="D19" i="4"/>
  <c r="E19" i="4" s="1"/>
  <c r="F19" i="4"/>
  <c r="B20" i="4"/>
  <c r="I18" i="4"/>
  <c r="G18" i="4"/>
  <c r="H18" i="4"/>
  <c r="K18" i="4"/>
  <c r="O18" i="4"/>
  <c r="L18" i="4"/>
  <c r="N18" i="4"/>
  <c r="M18" i="4"/>
  <c r="Q18" i="4"/>
  <c r="P18" i="4"/>
  <c r="T36" i="4"/>
  <c r="T38" i="4"/>
  <c r="T33" i="4"/>
  <c r="T37" i="4"/>
  <c r="T35" i="4"/>
  <c r="J20" i="4" l="1"/>
  <c r="C20" i="4"/>
  <c r="D20" i="4"/>
  <c r="E20" i="4" s="1"/>
  <c r="F20" i="4"/>
  <c r="B21" i="4"/>
  <c r="K19" i="4"/>
  <c r="L19" i="4"/>
  <c r="O19" i="4"/>
  <c r="N19" i="4"/>
  <c r="Q19" i="4"/>
  <c r="P19" i="4"/>
  <c r="M19" i="4"/>
  <c r="G19" i="4"/>
  <c r="H19" i="4"/>
  <c r="I19" i="4"/>
  <c r="J21" i="4" l="1"/>
  <c r="D21" i="4"/>
  <c r="E21" i="4" s="1"/>
  <c r="F21" i="4"/>
  <c r="C21" i="4"/>
  <c r="B22" i="4"/>
  <c r="I20" i="4"/>
  <c r="G20" i="4"/>
  <c r="H20" i="4"/>
  <c r="K20" i="4"/>
  <c r="O20" i="4"/>
  <c r="Q20" i="4"/>
  <c r="L20" i="4"/>
  <c r="N20" i="4"/>
  <c r="P20" i="4"/>
  <c r="M20" i="4"/>
  <c r="J22" i="4" l="1"/>
  <c r="C22" i="4"/>
  <c r="D22" i="4"/>
  <c r="E22" i="4" s="1"/>
  <c r="F22" i="4"/>
  <c r="B23" i="4"/>
  <c r="G21" i="4"/>
  <c r="H21" i="4"/>
  <c r="I21" i="4"/>
  <c r="O21" i="4"/>
  <c r="Q21" i="4"/>
  <c r="N21" i="4"/>
  <c r="K21" i="4"/>
  <c r="M21" i="4"/>
  <c r="L21" i="4"/>
  <c r="P21" i="4"/>
  <c r="J23" i="4" l="1"/>
  <c r="F23" i="4"/>
  <c r="C23" i="4"/>
  <c r="D23" i="4"/>
  <c r="E23" i="4" s="1"/>
  <c r="B24" i="4"/>
  <c r="I22" i="4"/>
  <c r="G22" i="4"/>
  <c r="H22" i="4"/>
  <c r="K22" i="4"/>
  <c r="O22" i="4"/>
  <c r="Q22" i="4"/>
  <c r="P22" i="4"/>
  <c r="L22" i="4"/>
  <c r="N22" i="4"/>
  <c r="M22" i="4"/>
  <c r="J24" i="4" l="1"/>
  <c r="C24" i="4"/>
  <c r="D24" i="4"/>
  <c r="E24" i="4" s="1"/>
  <c r="F24" i="4"/>
  <c r="B25" i="4"/>
  <c r="L23" i="4"/>
  <c r="P23" i="4"/>
  <c r="N23" i="4"/>
  <c r="M23" i="4"/>
  <c r="K23" i="4"/>
  <c r="Q23" i="4"/>
  <c r="O23" i="4"/>
  <c r="H23" i="4"/>
  <c r="I23" i="4"/>
  <c r="G23" i="4"/>
  <c r="J25" i="4" l="1"/>
  <c r="B26" i="4"/>
  <c r="F25" i="4"/>
  <c r="C25" i="4"/>
  <c r="D25" i="4"/>
  <c r="E25" i="4" s="1"/>
  <c r="H24" i="4"/>
  <c r="G24" i="4"/>
  <c r="I24" i="4"/>
  <c r="M24" i="4"/>
  <c r="Q24" i="4"/>
  <c r="P24" i="4"/>
  <c r="L24" i="4"/>
  <c r="K24" i="4"/>
  <c r="O24" i="4"/>
  <c r="N24" i="4"/>
  <c r="N25" i="4" l="1"/>
  <c r="K25" i="4"/>
  <c r="M25" i="4"/>
  <c r="L25" i="4"/>
  <c r="Q25" i="4"/>
  <c r="P25" i="4"/>
  <c r="O25" i="4"/>
  <c r="H25" i="4"/>
  <c r="G25" i="4"/>
  <c r="I25" i="4"/>
  <c r="J26" i="4"/>
  <c r="F26" i="4"/>
  <c r="C26" i="4"/>
  <c r="D26" i="4"/>
  <c r="E26" i="4" s="1"/>
  <c r="B27" i="4"/>
  <c r="J27" i="4" l="1"/>
  <c r="D27" i="4"/>
  <c r="E27" i="4" s="1"/>
  <c r="C27" i="4"/>
  <c r="F27" i="4"/>
  <c r="B28" i="4"/>
  <c r="H26" i="4"/>
  <c r="G26" i="4"/>
  <c r="I26" i="4"/>
  <c r="P26" i="4"/>
  <c r="K26" i="4"/>
  <c r="N26" i="4"/>
  <c r="M26" i="4"/>
  <c r="Q26" i="4"/>
  <c r="O26" i="4"/>
  <c r="L26" i="4"/>
  <c r="J28" i="4" l="1"/>
  <c r="F28" i="4"/>
  <c r="C28" i="4"/>
  <c r="D28" i="4"/>
  <c r="E28" i="4" s="1"/>
  <c r="B29" i="4"/>
  <c r="G27" i="4"/>
  <c r="I27" i="4"/>
  <c r="H27" i="4"/>
  <c r="Q27" i="4"/>
  <c r="O27" i="4"/>
  <c r="N27" i="4"/>
  <c r="M27" i="4"/>
  <c r="L27" i="4"/>
  <c r="P27" i="4"/>
  <c r="K27" i="4"/>
  <c r="J29" i="4" l="1"/>
  <c r="D29" i="4"/>
  <c r="E29" i="4" s="1"/>
  <c r="C29" i="4"/>
  <c r="F29" i="4"/>
  <c r="B30" i="4"/>
  <c r="K28" i="4"/>
  <c r="M28" i="4"/>
  <c r="Q28" i="4"/>
  <c r="L28" i="4"/>
  <c r="N28" i="4"/>
  <c r="P28" i="4"/>
  <c r="O28" i="4"/>
  <c r="I28" i="4"/>
  <c r="H28" i="4"/>
  <c r="G28" i="4"/>
  <c r="J30" i="4" l="1"/>
  <c r="F30" i="4"/>
  <c r="C30" i="4"/>
  <c r="D30" i="4"/>
  <c r="E30" i="4" s="1"/>
  <c r="B31" i="4"/>
  <c r="N29" i="4"/>
  <c r="K29" i="4"/>
  <c r="L29" i="4"/>
  <c r="P29" i="4"/>
  <c r="O29" i="4"/>
  <c r="Q29" i="4"/>
  <c r="M29" i="4"/>
  <c r="U61" i="4"/>
  <c r="U16" i="4"/>
  <c r="U15" i="4"/>
  <c r="U62" i="4"/>
  <c r="U18" i="4"/>
  <c r="U19" i="4"/>
  <c r="U60" i="4"/>
  <c r="U63" i="4"/>
  <c r="U17" i="4"/>
  <c r="U64" i="4"/>
  <c r="H29" i="4"/>
  <c r="G29" i="4"/>
  <c r="I29" i="4"/>
  <c r="U20" i="4" l="1"/>
  <c r="J31" i="4"/>
  <c r="F31" i="4"/>
  <c r="C31" i="4"/>
  <c r="D31" i="4"/>
  <c r="E31" i="4" s="1"/>
  <c r="B32" i="4"/>
  <c r="N30" i="4"/>
  <c r="M30" i="4"/>
  <c r="Q30" i="4"/>
  <c r="K30" i="4"/>
  <c r="P30" i="4"/>
  <c r="O30" i="4"/>
  <c r="L30" i="4"/>
  <c r="U39" i="4"/>
  <c r="U34" i="4"/>
  <c r="U40" i="4"/>
  <c r="U65" i="4"/>
  <c r="H30" i="4"/>
  <c r="I30" i="4"/>
  <c r="G30" i="4"/>
  <c r="U37" i="4"/>
  <c r="U35" i="4"/>
  <c r="U33" i="4"/>
  <c r="U36" i="4"/>
  <c r="U38" i="4"/>
  <c r="J32" i="4" l="1"/>
  <c r="F32" i="4"/>
  <c r="C32" i="4"/>
  <c r="D32" i="4"/>
  <c r="E32" i="4" s="1"/>
  <c r="B33" i="4"/>
  <c r="Q31" i="4"/>
  <c r="K31" i="4"/>
  <c r="O31" i="4"/>
  <c r="L31" i="4"/>
  <c r="N31" i="4"/>
  <c r="P31" i="4"/>
  <c r="M31" i="4"/>
  <c r="G31" i="4"/>
  <c r="H31" i="4"/>
  <c r="I31" i="4"/>
  <c r="J33" i="4" l="1"/>
  <c r="F33" i="4"/>
  <c r="C33" i="4"/>
  <c r="D33" i="4"/>
  <c r="E33" i="4" s="1"/>
  <c r="B34" i="4"/>
  <c r="K32" i="4"/>
  <c r="M32" i="4"/>
  <c r="O32" i="4"/>
  <c r="Q32" i="4"/>
  <c r="N32" i="4"/>
  <c r="L32" i="4"/>
  <c r="P32" i="4"/>
  <c r="H32" i="4"/>
  <c r="G32" i="4"/>
  <c r="I32" i="4"/>
  <c r="J34" i="4" l="1"/>
  <c r="F34" i="4"/>
  <c r="C34" i="4"/>
  <c r="D34" i="4"/>
  <c r="E34" i="4" s="1"/>
  <c r="B35" i="4"/>
  <c r="Q33" i="4"/>
  <c r="L33" i="4"/>
  <c r="N33" i="4"/>
  <c r="P33" i="4"/>
  <c r="K33" i="4"/>
  <c r="O33" i="4"/>
  <c r="M33" i="4"/>
  <c r="I33" i="4"/>
  <c r="G33" i="4"/>
  <c r="H33" i="4"/>
  <c r="J35" i="4" l="1"/>
  <c r="D35" i="4"/>
  <c r="E35" i="4" s="1"/>
  <c r="F35" i="4"/>
  <c r="C35" i="4"/>
  <c r="B36" i="4"/>
  <c r="P34" i="4"/>
  <c r="N34" i="4"/>
  <c r="K34" i="4"/>
  <c r="M34" i="4"/>
  <c r="L34" i="4"/>
  <c r="Q34" i="4"/>
  <c r="O34" i="4"/>
  <c r="H34" i="4"/>
  <c r="G34" i="4"/>
  <c r="I34" i="4"/>
  <c r="J36" i="4" l="1"/>
  <c r="C36" i="4"/>
  <c r="D36" i="4"/>
  <c r="E36" i="4" s="1"/>
  <c r="F36" i="4"/>
  <c r="B37" i="4"/>
  <c r="I35" i="4"/>
  <c r="H35" i="4"/>
  <c r="G35" i="4"/>
  <c r="Q35" i="4"/>
  <c r="K35" i="4"/>
  <c r="O35" i="4"/>
  <c r="L35" i="4"/>
  <c r="N35" i="4"/>
  <c r="P35" i="4"/>
  <c r="M35" i="4"/>
  <c r="J37" i="4" l="1"/>
  <c r="B38" i="4"/>
  <c r="C37" i="4"/>
  <c r="F37" i="4"/>
  <c r="D37" i="4"/>
  <c r="E37" i="4" s="1"/>
  <c r="G36" i="4"/>
  <c r="H36" i="4"/>
  <c r="I36" i="4"/>
  <c r="M36" i="4"/>
  <c r="O36" i="4"/>
  <c r="Q36" i="4"/>
  <c r="N36" i="4"/>
  <c r="L36" i="4"/>
  <c r="P36" i="4"/>
  <c r="K36" i="4"/>
  <c r="Q37" i="4" l="1"/>
  <c r="L37" i="4"/>
  <c r="N37" i="4"/>
  <c r="P37" i="4"/>
  <c r="K37" i="4"/>
  <c r="O37" i="4"/>
  <c r="M37" i="4"/>
  <c r="G37" i="4"/>
  <c r="I37" i="4"/>
  <c r="H37" i="4"/>
  <c r="J38" i="4"/>
  <c r="D38" i="4"/>
  <c r="E38" i="4" s="1"/>
  <c r="F38" i="4"/>
  <c r="C38" i="4"/>
  <c r="B39" i="4"/>
  <c r="J39" i="4" l="1"/>
  <c r="F39" i="4"/>
  <c r="D39" i="4"/>
  <c r="E39" i="4" s="1"/>
  <c r="C39" i="4"/>
  <c r="B40" i="4"/>
  <c r="P38" i="4"/>
  <c r="N38" i="4"/>
  <c r="K38" i="4"/>
  <c r="M38" i="4"/>
  <c r="O38" i="4"/>
  <c r="L38" i="4"/>
  <c r="Q38" i="4"/>
  <c r="G38" i="4"/>
  <c r="H38" i="4"/>
  <c r="I38" i="4"/>
  <c r="J40" i="4" l="1"/>
  <c r="C40" i="4"/>
  <c r="D40" i="4"/>
  <c r="E40" i="4" s="1"/>
  <c r="F40" i="4"/>
  <c r="B41" i="4"/>
  <c r="M39" i="4"/>
  <c r="Q39" i="4"/>
  <c r="K39" i="4"/>
  <c r="O39" i="4"/>
  <c r="L39" i="4"/>
  <c r="N39" i="4"/>
  <c r="P39" i="4"/>
  <c r="H39" i="4"/>
  <c r="I39" i="4"/>
  <c r="G39" i="4"/>
  <c r="J41" i="4" l="1"/>
  <c r="D41" i="4"/>
  <c r="E41" i="4" s="1"/>
  <c r="F41" i="4"/>
  <c r="C41" i="4"/>
  <c r="B42" i="4"/>
  <c r="G40" i="4"/>
  <c r="H40" i="4"/>
  <c r="I40" i="4"/>
  <c r="Q40" i="4"/>
  <c r="N40" i="4"/>
  <c r="L40" i="4"/>
  <c r="P40" i="4"/>
  <c r="K40" i="4"/>
  <c r="O40" i="4"/>
  <c r="M40" i="4"/>
  <c r="D42" i="4" l="1"/>
  <c r="E42" i="4" s="1"/>
  <c r="J42" i="4"/>
  <c r="C42" i="4"/>
  <c r="F42" i="4"/>
  <c r="B43" i="4"/>
  <c r="I41" i="4"/>
  <c r="H41" i="4"/>
  <c r="G41" i="4"/>
  <c r="K41" i="4"/>
  <c r="O41" i="4"/>
  <c r="M41" i="4"/>
  <c r="Q41" i="4"/>
  <c r="L41" i="4"/>
  <c r="N41" i="4"/>
  <c r="P41" i="4"/>
  <c r="V61" i="4"/>
  <c r="V64" i="4"/>
  <c r="V60" i="4"/>
  <c r="V18" i="4"/>
  <c r="V63" i="4"/>
  <c r="V16" i="4"/>
  <c r="V17" i="4"/>
  <c r="V19" i="4"/>
  <c r="V15" i="4"/>
  <c r="V20" i="4" s="1"/>
  <c r="V62" i="4"/>
  <c r="V34" i="4" l="1"/>
  <c r="V39" i="4"/>
  <c r="V40" i="4"/>
  <c r="J43" i="4"/>
  <c r="D43" i="4"/>
  <c r="E43" i="4" s="1"/>
  <c r="F43" i="4"/>
  <c r="C43" i="4"/>
  <c r="B44" i="4"/>
  <c r="V36" i="4"/>
  <c r="V38" i="4"/>
  <c r="V33" i="4"/>
  <c r="V37" i="4"/>
  <c r="V35" i="4"/>
  <c r="G42" i="4"/>
  <c r="I42" i="4"/>
  <c r="V65" i="4"/>
  <c r="N42" i="4"/>
  <c r="M42" i="4"/>
  <c r="K42" i="4"/>
  <c r="Q42" i="4"/>
  <c r="P42" i="4"/>
  <c r="O42" i="4"/>
  <c r="L42" i="4"/>
  <c r="J44" i="4" l="1"/>
  <c r="D44" i="4"/>
  <c r="E44" i="4" s="1"/>
  <c r="F44" i="4"/>
  <c r="C44" i="4"/>
  <c r="B45" i="4"/>
  <c r="H43" i="4"/>
  <c r="I43" i="4"/>
  <c r="G43" i="4"/>
  <c r="M43" i="4"/>
  <c r="K43" i="4"/>
  <c r="L43" i="4"/>
  <c r="P43" i="4"/>
  <c r="Q43" i="4"/>
  <c r="O43" i="4"/>
  <c r="N43" i="4"/>
  <c r="J45" i="4" l="1"/>
  <c r="F45" i="4"/>
  <c r="C45" i="4"/>
  <c r="D45" i="4"/>
  <c r="E45" i="4" s="1"/>
  <c r="B46" i="4"/>
  <c r="I44" i="4"/>
  <c r="H44" i="4"/>
  <c r="G44" i="4"/>
  <c r="O44" i="4"/>
  <c r="N44" i="4"/>
  <c r="M44" i="4"/>
  <c r="Q44" i="4"/>
  <c r="L44" i="4"/>
  <c r="K44" i="4"/>
  <c r="P44" i="4"/>
  <c r="F46" i="4" l="1"/>
  <c r="D46" i="4"/>
  <c r="E46" i="4" s="1"/>
  <c r="J46" i="4"/>
  <c r="C46" i="4"/>
  <c r="B47" i="4"/>
  <c r="M45" i="4"/>
  <c r="Q45" i="4"/>
  <c r="N45" i="4"/>
  <c r="L45" i="4"/>
  <c r="P45" i="4"/>
  <c r="O45" i="4"/>
  <c r="K45" i="4"/>
  <c r="G45" i="4"/>
  <c r="H45" i="4"/>
  <c r="I45" i="4"/>
  <c r="J47" i="4" l="1"/>
  <c r="D47" i="4"/>
  <c r="E47" i="4" s="1"/>
  <c r="C47" i="4"/>
  <c r="F47" i="4"/>
  <c r="B48" i="4"/>
  <c r="Q46" i="4"/>
  <c r="K46" i="4"/>
  <c r="N46" i="4"/>
  <c r="M46" i="4"/>
  <c r="P46" i="4"/>
  <c r="O46" i="4"/>
  <c r="L46" i="4"/>
  <c r="H46" i="4"/>
  <c r="I46" i="4"/>
  <c r="G46" i="4"/>
  <c r="J48" i="4" l="1"/>
  <c r="D48" i="4"/>
  <c r="E48" i="4" s="1"/>
  <c r="F48" i="4"/>
  <c r="C48" i="4"/>
  <c r="B49" i="4"/>
  <c r="I47" i="4"/>
  <c r="G47" i="4"/>
  <c r="H47" i="4"/>
  <c r="M47" i="4"/>
  <c r="K47" i="4"/>
  <c r="L47" i="4"/>
  <c r="P47" i="4"/>
  <c r="Q47" i="4"/>
  <c r="O47" i="4"/>
  <c r="N47" i="4"/>
  <c r="D49" i="4" l="1"/>
  <c r="E49" i="4" s="1"/>
  <c r="F49" i="4"/>
  <c r="C49" i="4"/>
  <c r="J49" i="4"/>
  <c r="B50" i="4"/>
  <c r="H48" i="4"/>
  <c r="I48" i="4"/>
  <c r="G48" i="4"/>
  <c r="N48" i="4"/>
  <c r="P48" i="4"/>
  <c r="O48" i="4"/>
  <c r="K48" i="4"/>
  <c r="M48" i="4"/>
  <c r="Q48" i="4"/>
  <c r="L48" i="4"/>
  <c r="D50" i="4" l="1"/>
  <c r="E50" i="4" s="1"/>
  <c r="J50" i="4"/>
  <c r="F50" i="4"/>
  <c r="C50" i="4"/>
  <c r="B51" i="4"/>
  <c r="H49" i="4"/>
  <c r="I49" i="4"/>
  <c r="G49" i="4"/>
  <c r="N49" i="4"/>
  <c r="K49" i="4"/>
  <c r="M49" i="4"/>
  <c r="L49" i="4"/>
  <c r="P49" i="4"/>
  <c r="O49" i="4"/>
  <c r="Q49" i="4"/>
  <c r="J51" i="4" l="1"/>
  <c r="F51" i="4"/>
  <c r="C51" i="4"/>
  <c r="D51" i="4"/>
  <c r="E51" i="4" s="1"/>
  <c r="B52" i="4"/>
  <c r="I50" i="4"/>
  <c r="G50" i="4"/>
  <c r="H50" i="4"/>
  <c r="K50" i="4"/>
  <c r="N50" i="4"/>
  <c r="M50" i="4"/>
  <c r="Q50" i="4"/>
  <c r="O50" i="4"/>
  <c r="P50" i="4"/>
  <c r="L50" i="4"/>
  <c r="J52" i="4" l="1"/>
  <c r="C52" i="4"/>
  <c r="D52" i="4"/>
  <c r="E52" i="4" s="1"/>
  <c r="F52" i="4"/>
  <c r="B53" i="4"/>
  <c r="O51" i="4"/>
  <c r="Q51" i="4"/>
  <c r="P51" i="4"/>
  <c r="L51" i="4"/>
  <c r="N51" i="4"/>
  <c r="M51" i="4"/>
  <c r="K51" i="4"/>
  <c r="G51" i="4"/>
  <c r="I51" i="4"/>
  <c r="H51" i="4"/>
  <c r="J53" i="4" l="1"/>
  <c r="D53" i="4"/>
  <c r="E53" i="4" s="1"/>
  <c r="C53" i="4"/>
  <c r="F53" i="4"/>
  <c r="B54" i="4"/>
  <c r="I52" i="4"/>
  <c r="G52" i="4"/>
  <c r="H52" i="4"/>
  <c r="K52" i="4"/>
  <c r="M52" i="4"/>
  <c r="O52" i="4"/>
  <c r="L52" i="4"/>
  <c r="Q52" i="4"/>
  <c r="P52" i="4"/>
  <c r="N52" i="4"/>
  <c r="F54" i="4" l="1"/>
  <c r="J54" i="4"/>
  <c r="C54" i="4"/>
  <c r="D54" i="4"/>
  <c r="E54" i="4" s="1"/>
  <c r="B55" i="4"/>
  <c r="I53" i="4"/>
  <c r="G53" i="4"/>
  <c r="H53" i="4"/>
  <c r="N53" i="4"/>
  <c r="P53" i="4"/>
  <c r="O53" i="4"/>
  <c r="K53" i="4"/>
  <c r="L53" i="4"/>
  <c r="Q53" i="4"/>
  <c r="M53" i="4"/>
  <c r="W60" i="4"/>
  <c r="W65" i="4" s="1"/>
  <c r="W62" i="4"/>
  <c r="W17" i="4"/>
  <c r="W64" i="4"/>
  <c r="W18" i="4"/>
  <c r="W63" i="4"/>
  <c r="W15" i="4"/>
  <c r="W19" i="4"/>
  <c r="W16" i="4"/>
  <c r="W61" i="4"/>
  <c r="J55" i="4" l="1"/>
  <c r="F55" i="4"/>
  <c r="C55" i="4"/>
  <c r="D55" i="4"/>
  <c r="E55" i="4" s="1"/>
  <c r="B56" i="4"/>
  <c r="W20" i="4"/>
  <c r="L54" i="4"/>
  <c r="O54" i="4"/>
  <c r="K54" i="4"/>
  <c r="Q54" i="4"/>
  <c r="P54" i="4"/>
  <c r="N54" i="4"/>
  <c r="M54" i="4"/>
  <c r="W40" i="4"/>
  <c r="W34" i="4"/>
  <c r="W39" i="4"/>
  <c r="W33" i="4"/>
  <c r="W36" i="4"/>
  <c r="W35" i="4"/>
  <c r="W38" i="4"/>
  <c r="W37" i="4"/>
  <c r="I54" i="4"/>
  <c r="H54" i="4"/>
  <c r="G54" i="4"/>
  <c r="J56" i="4" l="1"/>
  <c r="F56" i="4"/>
  <c r="D56" i="4"/>
  <c r="E56" i="4" s="1"/>
  <c r="C56" i="4"/>
  <c r="B57" i="4"/>
  <c r="N55" i="4"/>
  <c r="K55" i="4"/>
  <c r="M55" i="4"/>
  <c r="Q55" i="4"/>
  <c r="L55" i="4"/>
  <c r="P55" i="4"/>
  <c r="O55" i="4"/>
  <c r="H55" i="4"/>
  <c r="I55" i="4"/>
  <c r="G55" i="4"/>
  <c r="C57" i="4" l="1"/>
  <c r="D57" i="4"/>
  <c r="E57" i="4" s="1"/>
  <c r="B58" i="4"/>
  <c r="F57" i="4"/>
  <c r="J57" i="4"/>
  <c r="L56" i="4"/>
  <c r="N56" i="4"/>
  <c r="P56" i="4"/>
  <c r="O56" i="4"/>
  <c r="M56" i="4"/>
  <c r="Q56" i="4"/>
  <c r="K56" i="4"/>
  <c r="H56" i="4"/>
  <c r="G56" i="4"/>
  <c r="I56" i="4"/>
  <c r="I57" i="4" l="1"/>
  <c r="H57" i="4"/>
  <c r="G57" i="4"/>
  <c r="D58" i="4"/>
  <c r="E58" i="4" s="1"/>
  <c r="C58" i="4"/>
  <c r="J58" i="4"/>
  <c r="F58" i="4"/>
  <c r="B59" i="4"/>
  <c r="K57" i="4"/>
  <c r="M57" i="4"/>
  <c r="O57" i="4"/>
  <c r="N57" i="4"/>
  <c r="L57" i="4"/>
  <c r="Q57" i="4"/>
  <c r="P57" i="4"/>
  <c r="N58" i="4" l="1"/>
  <c r="M58" i="4"/>
  <c r="K58" i="4"/>
  <c r="Q58" i="4"/>
  <c r="O58" i="4"/>
  <c r="P58" i="4"/>
  <c r="L58" i="4"/>
  <c r="J59" i="4"/>
  <c r="C59" i="4"/>
  <c r="F59" i="4"/>
  <c r="D59" i="4"/>
  <c r="E59" i="4" s="1"/>
  <c r="B60" i="4"/>
  <c r="G58" i="4"/>
  <c r="H58" i="4"/>
  <c r="I58" i="4"/>
  <c r="J60" i="4" l="1"/>
  <c r="F60" i="4"/>
  <c r="C60" i="4"/>
  <c r="D60" i="4"/>
  <c r="E60" i="4" s="1"/>
  <c r="B61" i="4"/>
  <c r="Q59" i="4"/>
  <c r="K59" i="4"/>
  <c r="O59" i="4"/>
  <c r="M59" i="4"/>
  <c r="N59" i="4"/>
  <c r="P59" i="4"/>
  <c r="L59" i="4"/>
  <c r="H59" i="4"/>
  <c r="G59" i="4"/>
  <c r="I59" i="4"/>
  <c r="J61" i="4" l="1"/>
  <c r="D61" i="4"/>
  <c r="E61" i="4" s="1"/>
  <c r="F61" i="4"/>
  <c r="C61" i="4"/>
  <c r="B62" i="4"/>
  <c r="O60" i="4"/>
  <c r="K60" i="4"/>
  <c r="N60" i="4"/>
  <c r="M60" i="4"/>
  <c r="P60" i="4"/>
  <c r="Q60" i="4"/>
  <c r="L60" i="4"/>
  <c r="I60" i="4"/>
  <c r="H60" i="4"/>
  <c r="G60" i="4"/>
  <c r="J62" i="4" l="1"/>
  <c r="F62" i="4"/>
  <c r="C62" i="4"/>
  <c r="D62" i="4"/>
  <c r="E62" i="4" s="1"/>
  <c r="B63" i="4"/>
  <c r="I61" i="4"/>
  <c r="H61" i="4"/>
  <c r="G61" i="4"/>
  <c r="N61" i="4"/>
  <c r="L61" i="4"/>
  <c r="Q61" i="4"/>
  <c r="P61" i="4"/>
  <c r="O61" i="4"/>
  <c r="M61" i="4"/>
  <c r="K61" i="4"/>
  <c r="J63" i="4" l="1"/>
  <c r="D63" i="4"/>
  <c r="E63" i="4" s="1"/>
  <c r="F63" i="4"/>
  <c r="C63" i="4"/>
  <c r="B64" i="4"/>
  <c r="O62" i="4"/>
  <c r="M62" i="4"/>
  <c r="N62" i="4"/>
  <c r="Q62" i="4"/>
  <c r="K62" i="4"/>
  <c r="L62" i="4"/>
  <c r="P62" i="4"/>
  <c r="G62" i="4"/>
  <c r="I62" i="4"/>
  <c r="H62" i="4"/>
  <c r="J64" i="4" l="1"/>
  <c r="F64" i="4"/>
  <c r="C64" i="4"/>
  <c r="D64" i="4"/>
  <c r="E64" i="4" s="1"/>
  <c r="B65" i="4"/>
  <c r="H63" i="4"/>
  <c r="G63" i="4"/>
  <c r="I63" i="4"/>
  <c r="Q63" i="4"/>
  <c r="P63" i="4"/>
  <c r="O63" i="4"/>
  <c r="K63" i="4"/>
  <c r="L63" i="4"/>
  <c r="M63" i="4"/>
  <c r="N63" i="4"/>
  <c r="F65" i="4" l="1"/>
  <c r="J65" i="4"/>
  <c r="D65" i="4"/>
  <c r="E65" i="4" s="1"/>
  <c r="C65" i="4"/>
  <c r="O64" i="4"/>
  <c r="K64" i="4"/>
  <c r="L64" i="4"/>
  <c r="M64" i="4"/>
  <c r="Q64" i="4"/>
  <c r="N64" i="4"/>
  <c r="P64" i="4"/>
  <c r="H64" i="4"/>
  <c r="G64" i="4"/>
  <c r="I64" i="4"/>
  <c r="K65" i="4" l="1"/>
  <c r="P65" i="4"/>
  <c r="N65" i="4"/>
  <c r="O65" i="4"/>
  <c r="Q65" i="4"/>
  <c r="L65" i="4"/>
  <c r="M65" i="4"/>
  <c r="X19" i="4"/>
  <c r="X15" i="4"/>
  <c r="X62" i="4"/>
  <c r="X18" i="4"/>
  <c r="X60" i="4"/>
  <c r="X63" i="4"/>
  <c r="X17" i="4"/>
  <c r="X16" i="4"/>
  <c r="X64" i="4"/>
  <c r="X61" i="4"/>
  <c r="AG33" i="2"/>
  <c r="W33" i="2"/>
  <c r="AW33" i="2"/>
  <c r="X32" i="2"/>
  <c r="AY33" i="2"/>
  <c r="AC34" i="2"/>
  <c r="AI32" i="2"/>
  <c r="AV34" i="2"/>
  <c r="AU33" i="2"/>
  <c r="AW32" i="2"/>
  <c r="AE33" i="2"/>
  <c r="AR34" i="2"/>
  <c r="AL32" i="2"/>
  <c r="AF32" i="2"/>
  <c r="AJ32" i="2"/>
  <c r="S11" i="4"/>
  <c r="AO33" i="2"/>
  <c r="AZ33" i="2"/>
  <c r="AB34" i="2"/>
  <c r="Y34" i="2"/>
  <c r="AU32" i="2"/>
  <c r="AM32" i="2"/>
  <c r="AE32" i="2"/>
  <c r="AN32" i="2"/>
  <c r="AV32" i="2"/>
  <c r="AX34" i="2"/>
  <c r="AJ34" i="2"/>
  <c r="AS34" i="2"/>
  <c r="AL34" i="2"/>
  <c r="W32" i="2"/>
  <c r="AR33" i="2"/>
  <c r="Z34" i="2"/>
  <c r="AN33" i="2"/>
  <c r="AK34" i="2"/>
  <c r="AW34" i="2"/>
  <c r="AA43" i="4"/>
  <c r="AB32" i="2"/>
  <c r="AM33" i="2"/>
  <c r="AH32" i="2"/>
  <c r="AP33" i="2"/>
  <c r="AG34" i="2"/>
  <c r="AT34" i="2"/>
  <c r="AK33" i="2"/>
  <c r="Y33" i="2"/>
  <c r="AO32" i="2"/>
  <c r="AN34" i="2"/>
  <c r="AD33" i="2"/>
  <c r="X34" i="2"/>
  <c r="AV33" i="2"/>
  <c r="AZ32" i="2"/>
  <c r="AH34" i="2"/>
  <c r="AD34" i="2"/>
  <c r="AQ34" i="2"/>
  <c r="W34" i="2"/>
  <c r="AE34" i="2"/>
  <c r="AT33" i="2"/>
  <c r="AT32" i="2"/>
  <c r="AS33" i="2"/>
  <c r="AS32" i="2"/>
  <c r="AM34" i="2"/>
  <c r="AX32" i="2"/>
  <c r="AF34" i="2"/>
  <c r="Z33" i="2"/>
  <c r="X33" i="2"/>
  <c r="AK32" i="2"/>
  <c r="AC33" i="2"/>
  <c r="AP34" i="2"/>
  <c r="AC32" i="2"/>
  <c r="AA32" i="2"/>
  <c r="AG32" i="2"/>
  <c r="AH33" i="2"/>
  <c r="AQ32" i="2"/>
  <c r="AY32" i="2"/>
  <c r="AX33" i="2"/>
  <c r="AD32" i="2"/>
  <c r="AJ33" i="2"/>
  <c r="AU34" i="2"/>
  <c r="AL33" i="2"/>
  <c r="AA34" i="2"/>
  <c r="AI34" i="2"/>
  <c r="AF33" i="2"/>
  <c r="Y32" i="2"/>
  <c r="AI33" i="2"/>
  <c r="AR32" i="2"/>
  <c r="AA33" i="2"/>
  <c r="AQ33" i="2"/>
  <c r="AY34" i="2"/>
  <c r="Z32" i="2"/>
  <c r="AB33" i="2"/>
  <c r="AZ34" i="2"/>
  <c r="AO34" i="2"/>
  <c r="AP32" i="2"/>
  <c r="H65" i="4"/>
  <c r="I65" i="4"/>
  <c r="G65" i="4"/>
  <c r="T8" i="4" l="1"/>
  <c r="U8" i="4"/>
  <c r="V8" i="4"/>
  <c r="W8" i="4"/>
  <c r="X8" i="4"/>
  <c r="X39" i="4"/>
  <c r="X40" i="4"/>
  <c r="X34" i="4"/>
  <c r="T6" i="4"/>
  <c r="U6" i="4"/>
  <c r="V6" i="4"/>
  <c r="W6" i="4"/>
  <c r="X6" i="4"/>
  <c r="AA44" i="4"/>
  <c r="AB43" i="4"/>
  <c r="X65" i="4"/>
  <c r="T7" i="4"/>
  <c r="U7" i="4"/>
  <c r="V7" i="4"/>
  <c r="W7" i="4"/>
  <c r="X7" i="4"/>
  <c r="X33" i="4"/>
  <c r="X38" i="4"/>
  <c r="X37" i="4"/>
  <c r="X36" i="4"/>
  <c r="X35" i="4"/>
  <c r="X20" i="4"/>
  <c r="AB44" i="4" l="1"/>
  <c r="AB45" i="4" s="1"/>
  <c r="AC43" i="4"/>
  <c r="AA45" i="4"/>
  <c r="I18" i="6"/>
  <c r="Y7" i="4"/>
  <c r="Y6" i="4"/>
  <c r="Y8" i="4"/>
  <c r="I28" i="6" l="1"/>
  <c r="J17" i="6"/>
  <c r="J18" i="6" s="1"/>
  <c r="AN28" i="6"/>
  <c r="I46" i="6" s="1"/>
  <c r="AD43" i="4"/>
  <c r="AC44" i="4"/>
  <c r="AC45" i="4" s="1"/>
  <c r="K17" i="6" l="1"/>
  <c r="AO28" i="6"/>
  <c r="J46" i="6" s="1"/>
  <c r="I48" i="6"/>
  <c r="I58" i="6"/>
  <c r="AD44" i="4"/>
  <c r="AD45" i="4" s="1"/>
  <c r="AE43" i="4"/>
  <c r="U28" i="6"/>
  <c r="J28" i="6"/>
  <c r="J29" i="6" s="1"/>
  <c r="J37" i="6" s="1"/>
  <c r="I29" i="6"/>
  <c r="I37" i="6" s="1"/>
  <c r="J71" i="6" l="1"/>
  <c r="I71" i="6"/>
  <c r="I50" i="6"/>
  <c r="J58" i="6"/>
  <c r="J48" i="6"/>
  <c r="J50" i="6" s="1"/>
  <c r="AF43" i="4"/>
  <c r="AE44" i="4"/>
  <c r="AE45" i="4" s="1"/>
  <c r="K18" i="6"/>
  <c r="J61" i="6" l="1"/>
  <c r="J65" i="6"/>
  <c r="J72" i="6"/>
  <c r="J74" i="6"/>
  <c r="J20" i="6"/>
  <c r="AP28" i="6"/>
  <c r="K46" i="6" s="1"/>
  <c r="L17" i="6"/>
  <c r="L18" i="6" s="1"/>
  <c r="AG43" i="4"/>
  <c r="AF44" i="4"/>
  <c r="AF45" i="4" s="1"/>
  <c r="V28" i="6"/>
  <c r="I65" i="6"/>
  <c r="I74" i="6"/>
  <c r="I20" i="6"/>
  <c r="I72" i="6"/>
  <c r="I61" i="6"/>
  <c r="K28" i="6"/>
  <c r="AQ28" i="6" l="1"/>
  <c r="L46" i="6" s="1"/>
  <c r="M17" i="6"/>
  <c r="L28" i="6"/>
  <c r="L29" i="6" s="1"/>
  <c r="L37" i="6" s="1"/>
  <c r="W28" i="6"/>
  <c r="K29" i="6"/>
  <c r="K37" i="6" s="1"/>
  <c r="I75" i="6"/>
  <c r="S75" i="6" s="1"/>
  <c r="S61" i="6"/>
  <c r="I62" i="6"/>
  <c r="AG44" i="4"/>
  <c r="AG45" i="4" s="1"/>
  <c r="AH43" i="4"/>
  <c r="K58" i="6"/>
  <c r="K48" i="6"/>
  <c r="S20" i="6"/>
  <c r="J75" i="6"/>
  <c r="J62" i="6"/>
  <c r="J64" i="6" l="1"/>
  <c r="J66" i="6" s="1"/>
  <c r="J77" i="6" s="1"/>
  <c r="J76" i="6"/>
  <c r="J19" i="6"/>
  <c r="J21" i="6" s="1"/>
  <c r="L48" i="6"/>
  <c r="L50" i="6" s="1"/>
  <c r="L58" i="6"/>
  <c r="AI43" i="4"/>
  <c r="AH44" i="4"/>
  <c r="AH45" i="4" s="1"/>
  <c r="J14" i="6"/>
  <c r="D14" i="6"/>
  <c r="G14" i="6"/>
  <c r="H14" i="6"/>
  <c r="I14" i="6"/>
  <c r="S14" i="6"/>
  <c r="L71" i="6"/>
  <c r="I19" i="6"/>
  <c r="S62" i="6"/>
  <c r="I64" i="6"/>
  <c r="I76" i="6"/>
  <c r="S76" i="6" s="1"/>
  <c r="M18" i="6"/>
  <c r="K50" i="6"/>
  <c r="K71" i="6"/>
  <c r="L74" i="6" l="1"/>
  <c r="L65" i="6"/>
  <c r="L61" i="6"/>
  <c r="L72" i="6"/>
  <c r="N17" i="6"/>
  <c r="AR28" i="6"/>
  <c r="M46" i="6" s="1"/>
  <c r="N18" i="6"/>
  <c r="AJ43" i="4"/>
  <c r="AJ44" i="4" s="1"/>
  <c r="AJ45" i="4" s="1"/>
  <c r="AI44" i="4"/>
  <c r="AI45" i="4" s="1"/>
  <c r="S64" i="6"/>
  <c r="I66" i="6"/>
  <c r="M28" i="6"/>
  <c r="K72" i="6"/>
  <c r="K65" i="6"/>
  <c r="K74" i="6"/>
  <c r="K61" i="6"/>
  <c r="I21" i="6"/>
  <c r="S21" i="6" s="1"/>
  <c r="S19" i="6"/>
  <c r="X28" i="6"/>
  <c r="O17" i="6" l="1"/>
  <c r="O18" i="6" s="1"/>
  <c r="AS28" i="6"/>
  <c r="N46" i="6" s="1"/>
  <c r="M29" i="6"/>
  <c r="M37" i="6" s="1"/>
  <c r="Y28" i="6"/>
  <c r="N28" i="6"/>
  <c r="N29" i="6" s="1"/>
  <c r="N37" i="6" s="1"/>
  <c r="L62" i="6"/>
  <c r="L75" i="6"/>
  <c r="M58" i="6"/>
  <c r="M48" i="6"/>
  <c r="S46" i="6"/>
  <c r="G9" i="6"/>
  <c r="H9" i="6"/>
  <c r="D9" i="6"/>
  <c r="S9" i="6"/>
  <c r="D8" i="6"/>
  <c r="I9" i="6"/>
  <c r="C9" i="6"/>
  <c r="J9" i="6"/>
  <c r="S66" i="6"/>
  <c r="I77" i="6"/>
  <c r="S77" i="6" s="1"/>
  <c r="K75" i="6"/>
  <c r="K62" i="6"/>
  <c r="P17" i="6" l="1"/>
  <c r="AT28" i="6"/>
  <c r="O46" i="6" s="1"/>
  <c r="P18" i="6"/>
  <c r="M50" i="6"/>
  <c r="M71" i="6"/>
  <c r="N58" i="6"/>
  <c r="N48" i="6"/>
  <c r="N50" i="6" s="1"/>
  <c r="N71" i="6"/>
  <c r="K76" i="6"/>
  <c r="K64" i="6"/>
  <c r="K66" i="6" s="1"/>
  <c r="K77" i="6" s="1"/>
  <c r="L76" i="6"/>
  <c r="L64" i="6"/>
  <c r="L66" i="6" s="1"/>
  <c r="L77" i="6" s="1"/>
  <c r="O28" i="6"/>
  <c r="O29" i="6" s="1"/>
  <c r="O37" i="6" s="1"/>
  <c r="Z28" i="6"/>
  <c r="N72" i="6" l="1"/>
  <c r="N74" i="6"/>
  <c r="N61" i="6"/>
  <c r="N65" i="6"/>
  <c r="O71" i="6"/>
  <c r="M65" i="6"/>
  <c r="S65" i="6" s="1"/>
  <c r="M74" i="6"/>
  <c r="M72" i="6"/>
  <c r="M61" i="6"/>
  <c r="S50" i="6"/>
  <c r="AU28" i="6"/>
  <c r="P46" i="6" s="1"/>
  <c r="Q17" i="6"/>
  <c r="O58" i="6"/>
  <c r="O48" i="6"/>
  <c r="O50" i="6" s="1"/>
  <c r="AA28" i="6"/>
  <c r="P28" i="6"/>
  <c r="P29" i="6" s="1"/>
  <c r="P37" i="6" s="1"/>
  <c r="Q18" i="6" l="1"/>
  <c r="P58" i="6"/>
  <c r="P48" i="6"/>
  <c r="P50" i="6" s="1"/>
  <c r="O61" i="6"/>
  <c r="O65" i="6"/>
  <c r="O74" i="6"/>
  <c r="O72" i="6"/>
  <c r="N62" i="6"/>
  <c r="N75" i="6"/>
  <c r="P71" i="6"/>
  <c r="M62" i="6"/>
  <c r="M75" i="6"/>
  <c r="P65" i="6" l="1"/>
  <c r="P74" i="6"/>
  <c r="P72" i="6"/>
  <c r="P61" i="6"/>
  <c r="AV28" i="6"/>
  <c r="Q46" i="6" s="1"/>
  <c r="R17" i="6"/>
  <c r="Q28" i="6"/>
  <c r="Q29" i="6" s="1"/>
  <c r="Q37" i="6" s="1"/>
  <c r="M76" i="6"/>
  <c r="M64" i="6"/>
  <c r="M66" i="6" s="1"/>
  <c r="M77" i="6" s="1"/>
  <c r="O75" i="6"/>
  <c r="O62" i="6"/>
  <c r="N76" i="6"/>
  <c r="N64" i="6"/>
  <c r="N66" i="6" s="1"/>
  <c r="N77" i="6" s="1"/>
  <c r="AB28" i="6"/>
  <c r="S17" i="6" l="1"/>
  <c r="Q71" i="6"/>
  <c r="O76" i="6"/>
  <c r="O64" i="6"/>
  <c r="O66" i="6" s="1"/>
  <c r="O77" i="6" s="1"/>
  <c r="Q48" i="6"/>
  <c r="Q50" i="6" s="1"/>
  <c r="Q58" i="6"/>
  <c r="R18" i="6"/>
  <c r="AC28" i="6" s="1"/>
  <c r="P75" i="6"/>
  <c r="P62" i="6"/>
  <c r="Q61" i="6" l="1"/>
  <c r="Q72" i="6"/>
  <c r="Q74" i="6"/>
  <c r="Q65" i="6"/>
  <c r="P64" i="6"/>
  <c r="P66" i="6" s="1"/>
  <c r="P77" i="6" s="1"/>
  <c r="P76" i="6"/>
  <c r="AW28" i="6"/>
  <c r="R46" i="6" s="1"/>
  <c r="S18" i="6"/>
  <c r="R28" i="6"/>
  <c r="R48" i="6" l="1"/>
  <c r="S48" i="6" s="1"/>
  <c r="R58" i="6"/>
  <c r="S58" i="6" s="1"/>
  <c r="R29" i="6"/>
  <c r="R37" i="6" s="1"/>
  <c r="S28" i="6"/>
  <c r="S29" i="6" s="1"/>
  <c r="Q75" i="6"/>
  <c r="Q62" i="6"/>
  <c r="R50" i="6" l="1"/>
  <c r="R71" i="6"/>
  <c r="S71" i="6" s="1"/>
  <c r="S37" i="6"/>
  <c r="Q64" i="6"/>
  <c r="Q66" i="6" s="1"/>
  <c r="Q77" i="6" s="1"/>
  <c r="Q76" i="6"/>
  <c r="R65" i="6" l="1"/>
  <c r="R72" i="6"/>
  <c r="S72" i="6" s="1"/>
  <c r="R74" i="6"/>
  <c r="S74" i="6" s="1"/>
  <c r="R61" i="6"/>
  <c r="R62" i="6" l="1"/>
  <c r="R75" i="6"/>
  <c r="R64" i="6" l="1"/>
  <c r="R66" i="6" s="1"/>
  <c r="R77" i="6" s="1"/>
  <c r="R7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 User</author>
  </authors>
  <commentList>
    <comment ref="T28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Lenovo User:</t>
        </r>
        <r>
          <rPr>
            <sz val="8"/>
            <color indexed="81"/>
            <rFont val="Tahoma"/>
            <family val="2"/>
          </rPr>
          <t xml:space="preserve">
Fix the Fringe Year references.</t>
        </r>
      </text>
    </comment>
  </commentList>
</comments>
</file>

<file path=xl/sharedStrings.xml><?xml version="1.0" encoding="utf-8"?>
<sst xmlns="http://schemas.openxmlformats.org/spreadsheetml/2006/main" count="1327" uniqueCount="252">
  <si>
    <t>Tuition</t>
  </si>
  <si>
    <t>Health Insurance</t>
  </si>
  <si>
    <t>Health Fees</t>
  </si>
  <si>
    <t>Year 1</t>
  </si>
  <si>
    <t>Year 2</t>
  </si>
  <si>
    <t>Cumulative</t>
  </si>
  <si>
    <t>Compensation</t>
  </si>
  <si>
    <t>PI, Summer</t>
  </si>
  <si>
    <t>PI, Academic</t>
  </si>
  <si>
    <t>Salaries</t>
  </si>
  <si>
    <t>Fringe Benefits</t>
  </si>
  <si>
    <t>Effort</t>
  </si>
  <si>
    <t>Salary</t>
  </si>
  <si>
    <t>Full-time, Summer</t>
  </si>
  <si>
    <t>Full-time, Academic</t>
  </si>
  <si>
    <t>Research Assistant</t>
  </si>
  <si>
    <t>Title</t>
  </si>
  <si>
    <t>Undergraduate RA</t>
  </si>
  <si>
    <t>Total Salaries</t>
  </si>
  <si>
    <t>Total Compensation</t>
  </si>
  <si>
    <t>Capital Equipment</t>
  </si>
  <si>
    <t>Operating Expenses</t>
  </si>
  <si>
    <t>Direct Costs</t>
  </si>
  <si>
    <t>Total Other Expenses</t>
  </si>
  <si>
    <t>Total Direct</t>
  </si>
  <si>
    <t>Total Exempt from F&amp;A</t>
  </si>
  <si>
    <t>F&amp;A</t>
  </si>
  <si>
    <t>Rate</t>
  </si>
  <si>
    <t>Exclusions</t>
  </si>
  <si>
    <t>Total F&amp;A Exclusions</t>
  </si>
  <si>
    <t>Total Indirect</t>
  </si>
  <si>
    <t>Total MTDC Base</t>
  </si>
  <si>
    <t>Internal Coord Form</t>
  </si>
  <si>
    <t>Total Expenses</t>
  </si>
  <si>
    <t>Project Total</t>
  </si>
  <si>
    <t>Is this a subcontract?</t>
  </si>
  <si>
    <t>Is there a subcontract on this grant?</t>
  </si>
  <si>
    <t>Is another Tufts Campus involved?</t>
  </si>
  <si>
    <t>Who is the Prime Sponsor?</t>
  </si>
  <si>
    <t>Who is the Subcontracting Sponsor?</t>
  </si>
  <si>
    <t>How many?</t>
  </si>
  <si>
    <t>Will this budget include the other campus's expenses?</t>
  </si>
  <si>
    <t>What is the start date?</t>
  </si>
  <si>
    <t>What is the program announcement number?</t>
  </si>
  <si>
    <t>Who is the PI?</t>
  </si>
  <si>
    <t>What is the F&amp;A rate?</t>
  </si>
  <si>
    <t>Is tuition allowed on this grant?</t>
  </si>
  <si>
    <t>General Information</t>
  </si>
  <si>
    <t>Are health fees/insurance allowed on this grant?</t>
  </si>
  <si>
    <t>Is there a minimum requirement?</t>
  </si>
  <si>
    <t>Is there a maximum requirement?</t>
  </si>
  <si>
    <t>Select</t>
  </si>
  <si>
    <t>Yes</t>
  </si>
  <si>
    <t>No</t>
  </si>
  <si>
    <t>How many years is this project?</t>
  </si>
  <si>
    <t>Grant-specific Issues</t>
  </si>
  <si>
    <t>Months</t>
  </si>
  <si>
    <t>Years</t>
  </si>
  <si>
    <t>Start</t>
  </si>
  <si>
    <t>End</t>
  </si>
  <si>
    <t>End date:</t>
  </si>
  <si>
    <t>Min</t>
  </si>
  <si>
    <t>Max</t>
  </si>
  <si>
    <t>Fiscal Year</t>
  </si>
  <si>
    <t>Academic Year</t>
  </si>
  <si>
    <t>Date</t>
  </si>
  <si>
    <t>Month #</t>
  </si>
  <si>
    <t>Tuition Rate</t>
  </si>
  <si>
    <t>Health Fee</t>
  </si>
  <si>
    <t>AY 2011-2012</t>
  </si>
  <si>
    <t>AY 2012-2013</t>
  </si>
  <si>
    <t>AY 2013-2014</t>
  </si>
  <si>
    <t>AY 2014-2015</t>
  </si>
  <si>
    <t>AY 2015-2016</t>
  </si>
  <si>
    <t>AY 2016-2017</t>
  </si>
  <si>
    <t>AY 2017-2018</t>
  </si>
  <si>
    <t>AY 2018-2019</t>
  </si>
  <si>
    <t>AY 2019-2020</t>
  </si>
  <si>
    <t>ANNUAL</t>
  </si>
  <si>
    <t>MONTHLY</t>
  </si>
  <si>
    <t>SU 2011-2012</t>
  </si>
  <si>
    <t>SU 2012-2013</t>
  </si>
  <si>
    <t>SU 2013-2014</t>
  </si>
  <si>
    <t>SU 2014-2015</t>
  </si>
  <si>
    <t>SU 2015-2016</t>
  </si>
  <si>
    <t>SU 2016-2017</t>
  </si>
  <si>
    <t>SU 2017-2018</t>
  </si>
  <si>
    <t>SU 2018-2019</t>
  </si>
  <si>
    <t>SU 2019-2020</t>
  </si>
  <si>
    <t>FRINGE RATES</t>
  </si>
  <si>
    <t>FY 2012</t>
  </si>
  <si>
    <t>FY 2013</t>
  </si>
  <si>
    <t>FY 2014</t>
  </si>
  <si>
    <t>FY 2015</t>
  </si>
  <si>
    <t>FY 2016</t>
  </si>
  <si>
    <t>FTS</t>
  </si>
  <si>
    <t>PTS</t>
  </si>
  <si>
    <t>Part-time, Summer</t>
  </si>
  <si>
    <t>CODE</t>
  </si>
  <si>
    <t>FTA</t>
  </si>
  <si>
    <t>PDA</t>
  </si>
  <si>
    <t>Co-PI, Summer</t>
  </si>
  <si>
    <t>Co-PI, Academic</t>
  </si>
  <si>
    <t>Research Associate, Summer</t>
  </si>
  <si>
    <t>Research Associate, Academic</t>
  </si>
  <si>
    <t>Map From</t>
  </si>
  <si>
    <t>Map To</t>
  </si>
  <si>
    <t>PTG</t>
  </si>
  <si>
    <t>PTU</t>
  </si>
  <si>
    <t>Fringe Year</t>
  </si>
  <si>
    <t>Months at Rate</t>
  </si>
  <si>
    <t>Yearly Fringe Rate</t>
  </si>
  <si>
    <t>Split?</t>
  </si>
  <si>
    <t>TERM</t>
  </si>
  <si>
    <t xml:space="preserve">SUMMER </t>
  </si>
  <si>
    <t>Salary Months</t>
  </si>
  <si>
    <t>PI Name:</t>
  </si>
  <si>
    <t>Primary Sponsor:</t>
  </si>
  <si>
    <t>Program Announcement:</t>
  </si>
  <si>
    <t>Thomas, Samuel</t>
  </si>
  <si>
    <t>Bennett, Clay</t>
  </si>
  <si>
    <t>Kenny, Jonathan</t>
  </si>
  <si>
    <t>Kounaves, Samuel</t>
  </si>
  <si>
    <t>Kritzer, Joshua</t>
  </si>
  <si>
    <t>Kumar, Krishna</t>
  </si>
  <si>
    <t>Kyriakou, Georgios</t>
  </si>
  <si>
    <t>Robbat, Albert</t>
  </si>
  <si>
    <t>Rybak-Akimova, Elena</t>
  </si>
  <si>
    <t>Shultz, Mary</t>
  </si>
  <si>
    <t>Sykes, E. Charles</t>
  </si>
  <si>
    <t>Utz, Arthur</t>
  </si>
  <si>
    <t>Walt, David</t>
  </si>
  <si>
    <t>When is this due?</t>
  </si>
  <si>
    <t>Partial years, measured in months:</t>
  </si>
  <si>
    <t>Total Project:</t>
  </si>
  <si>
    <t>Direct Costs:</t>
  </si>
  <si>
    <t>How much, total project expenses?</t>
  </si>
  <si>
    <t>How much, total direct costs?</t>
  </si>
  <si>
    <t>Are there yearly caps?</t>
  </si>
  <si>
    <t>Annual Budget over expenditure?</t>
  </si>
  <si>
    <t>Total Fringe Benefits</t>
  </si>
  <si>
    <t>Escalator</t>
  </si>
  <si>
    <t>Travel, Domestic</t>
  </si>
  <si>
    <t>Sponsor</t>
  </si>
  <si>
    <t>Postdoctoral Associate - Sponsor</t>
  </si>
  <si>
    <t>Postdoctoral Associate - CS</t>
  </si>
  <si>
    <t>PDACS</t>
  </si>
  <si>
    <t>Year 3</t>
  </si>
  <si>
    <t>The above budget has been reviewed by the Principal Investigator named above, and is in accordance with Sponsor guidelines and University Policy.</t>
  </si>
  <si>
    <t>AY 2012</t>
  </si>
  <si>
    <t>AY 2013</t>
  </si>
  <si>
    <t>Year 4</t>
  </si>
  <si>
    <t>Year 5</t>
  </si>
  <si>
    <t>Research Assistant, Summer</t>
  </si>
  <si>
    <t>Research Assistant, Academic</t>
  </si>
  <si>
    <t>Postdoctoral Associate</t>
  </si>
  <si>
    <t>Start Date</t>
  </si>
  <si>
    <t>PTA</t>
  </si>
  <si>
    <t>Select Personnel</t>
  </si>
  <si>
    <t>Position</t>
  </si>
  <si>
    <t>Amount</t>
  </si>
  <si>
    <t>PI Monthly Salary</t>
  </si>
  <si>
    <t>Summer Months</t>
  </si>
  <si>
    <t>Academic Months</t>
  </si>
  <si>
    <t>Total</t>
  </si>
  <si>
    <t>End Date</t>
  </si>
  <si>
    <t>YEAR</t>
  </si>
  <si>
    <t>Count</t>
  </si>
  <si>
    <t>Refined</t>
  </si>
  <si>
    <t>Year 6</t>
  </si>
  <si>
    <t>Year 7</t>
  </si>
  <si>
    <t>Year 8</t>
  </si>
  <si>
    <t>Year 9</t>
  </si>
  <si>
    <t>Year 10</t>
  </si>
  <si>
    <t>END DATE</t>
  </si>
  <si>
    <t>Subcontract</t>
  </si>
  <si>
    <t>Publications</t>
  </si>
  <si>
    <t>Gavenonis, Jason</t>
  </si>
  <si>
    <t>Murthy, Vijay</t>
  </si>
  <si>
    <t>Select Other Direct  Costs</t>
  </si>
  <si>
    <t>Category</t>
  </si>
  <si>
    <t>Minor Equipment</t>
  </si>
  <si>
    <t>Repairs</t>
  </si>
  <si>
    <t>If Subcontract, please name PI and Institution</t>
  </si>
  <si>
    <t>Fringe Rates</t>
  </si>
  <si>
    <t>Travel, International</t>
  </si>
  <si>
    <t>Materials &amp; Supplies</t>
  </si>
  <si>
    <t>Computers</t>
  </si>
  <si>
    <t>Outreach Expenses</t>
  </si>
  <si>
    <t>Other</t>
  </si>
  <si>
    <t>FTF</t>
  </si>
  <si>
    <t>PI, Full Year</t>
  </si>
  <si>
    <t>Co-PI, Full Year</t>
  </si>
  <si>
    <t>FTX</t>
  </si>
  <si>
    <t>PTX</t>
  </si>
  <si>
    <t>Escalated at 4% annually and pro-rated</t>
  </si>
  <si>
    <t>Due Date:</t>
  </si>
  <si>
    <t xml:space="preserve">Department Manager:                                                                                                                     </t>
  </si>
  <si>
    <r>
      <rPr>
        <sz val="11"/>
        <rFont val="Calibri"/>
        <family val="2"/>
        <scheme val="minor"/>
      </rPr>
      <t xml:space="preserve">               </t>
    </r>
    <r>
      <rPr>
        <u val="singleAccounting"/>
        <sz val="11"/>
        <rFont val="Calibri"/>
        <family val="2"/>
        <scheme val="minor"/>
      </rPr>
      <t xml:space="preserve">                                                                                                                   </t>
    </r>
  </si>
  <si>
    <t>Principal Investigator:</t>
  </si>
  <si>
    <r>
      <t xml:space="preserve">Note:  
15% of tuition for Graduate Students and 100% of his/her health insurance and comprehensive health fee are charged per Tufts Graduate School of Arts &amp; Sciences policy. The </t>
    </r>
    <r>
      <rPr>
        <b/>
        <u/>
        <sz val="11"/>
        <color theme="1"/>
        <rFont val="Calibri"/>
        <family val="2"/>
        <scheme val="minor"/>
      </rPr>
      <t>2011-2012</t>
    </r>
    <r>
      <rPr>
        <sz val="11"/>
        <color theme="1"/>
        <rFont val="Calibri"/>
        <family val="2"/>
        <scheme val="minor"/>
      </rPr>
      <t xml:space="preserve"> doctoral tuition charge is </t>
    </r>
    <r>
      <rPr>
        <b/>
        <u/>
        <sz val="11"/>
        <color theme="1"/>
        <rFont val="Calibri"/>
        <family val="2"/>
        <scheme val="minor"/>
      </rPr>
      <t>$24,724</t>
    </r>
    <r>
      <rPr>
        <sz val="11"/>
        <color theme="1"/>
        <rFont val="Calibri"/>
        <family val="2"/>
        <scheme val="minor"/>
      </rPr>
      <t xml:space="preserve">; the cost of health insurance is </t>
    </r>
    <r>
      <rPr>
        <b/>
        <u/>
        <sz val="11"/>
        <color theme="1"/>
        <rFont val="Calibri"/>
        <family val="2"/>
        <scheme val="minor"/>
      </rPr>
      <t>$1,723</t>
    </r>
    <r>
      <rPr>
        <sz val="11"/>
        <color theme="1"/>
        <rFont val="Calibri"/>
        <family val="2"/>
        <scheme val="minor"/>
      </rPr>
      <t xml:space="preserve"> and the comprehensive health fee is </t>
    </r>
    <r>
      <rPr>
        <b/>
        <u/>
        <sz val="11"/>
        <color theme="1"/>
        <rFont val="Calibri"/>
        <family val="2"/>
        <scheme val="minor"/>
      </rPr>
      <t>$668</t>
    </r>
    <r>
      <rPr>
        <sz val="11"/>
        <color theme="1"/>
        <rFont val="Calibri"/>
        <family val="2"/>
        <scheme val="minor"/>
      </rPr>
      <t xml:space="preserve">. These amounts are pro-rated and escalated at 4% annually.
Fringe Benefits are calculated at </t>
    </r>
    <r>
      <rPr>
        <b/>
        <u/>
        <sz val="11"/>
        <color theme="1"/>
        <rFont val="Calibri"/>
        <family val="2"/>
        <scheme val="minor"/>
      </rPr>
      <t>28.0%</t>
    </r>
    <r>
      <rPr>
        <sz val="11"/>
        <color theme="1"/>
        <rFont val="Calibri"/>
        <family val="2"/>
        <scheme val="minor"/>
      </rPr>
      <t xml:space="preserve"> for faculty during the academic year and </t>
    </r>
    <r>
      <rPr>
        <b/>
        <u/>
        <sz val="11"/>
        <color theme="1"/>
        <rFont val="Calibri"/>
        <family val="2"/>
        <scheme val="minor"/>
      </rPr>
      <t>17.0%</t>
    </r>
    <r>
      <rPr>
        <sz val="11"/>
        <color theme="1"/>
        <rFont val="Calibri"/>
        <family val="2"/>
        <scheme val="minor"/>
      </rPr>
      <t xml:space="preserve"> during the summer. Research Assistants (Graduate Students) only receive benefits during the summer at </t>
    </r>
    <r>
      <rPr>
        <b/>
        <u/>
        <sz val="11"/>
        <color theme="1"/>
        <rFont val="Calibri"/>
        <family val="2"/>
        <scheme val="minor"/>
      </rPr>
      <t>9.0%</t>
    </r>
    <r>
      <rPr>
        <sz val="11"/>
        <color theme="1"/>
        <rFont val="Calibri"/>
        <family val="2"/>
        <scheme val="minor"/>
      </rPr>
      <t xml:space="preserve"> in </t>
    </r>
    <r>
      <rPr>
        <b/>
        <u/>
        <sz val="11"/>
        <color theme="1"/>
        <rFont val="Calibri"/>
        <family val="2"/>
        <scheme val="minor"/>
      </rPr>
      <t>FY12</t>
    </r>
    <r>
      <rPr>
        <sz val="11"/>
        <color theme="1"/>
        <rFont val="Calibri"/>
        <family val="2"/>
        <scheme val="minor"/>
      </rPr>
      <t xml:space="preserve"> and </t>
    </r>
    <r>
      <rPr>
        <b/>
        <u/>
        <sz val="11"/>
        <color theme="1"/>
        <rFont val="Calibri"/>
        <family val="2"/>
        <scheme val="minor"/>
      </rPr>
      <t>9.3%</t>
    </r>
    <r>
      <rPr>
        <sz val="11"/>
        <color theme="1"/>
        <rFont val="Calibri"/>
        <family val="2"/>
        <scheme val="minor"/>
      </rPr>
      <t xml:space="preserve"> in </t>
    </r>
    <r>
      <rPr>
        <b/>
        <u/>
        <sz val="11"/>
        <color theme="1"/>
        <rFont val="Calibri"/>
        <family val="2"/>
        <scheme val="minor"/>
      </rPr>
      <t>FY13</t>
    </r>
    <r>
      <rPr>
        <sz val="11"/>
        <color theme="1"/>
        <rFont val="Calibri"/>
        <family val="2"/>
        <scheme val="minor"/>
      </rPr>
      <t xml:space="preserve"> and beyond. Postdoctoral Associate rates are calculated at </t>
    </r>
    <r>
      <rPr>
        <b/>
        <u/>
        <sz val="11"/>
        <color theme="1"/>
        <rFont val="Calibri"/>
        <family val="2"/>
        <scheme val="minor"/>
      </rPr>
      <t>17.0%</t>
    </r>
    <r>
      <rPr>
        <sz val="11"/>
        <color theme="1"/>
        <rFont val="Calibri"/>
        <family val="2"/>
        <scheme val="minor"/>
      </rPr>
      <t xml:space="preserve"> in </t>
    </r>
    <r>
      <rPr>
        <b/>
        <u/>
        <sz val="11"/>
        <color theme="1"/>
        <rFont val="Calibri"/>
        <family val="2"/>
        <scheme val="minor"/>
      </rPr>
      <t>FY12</t>
    </r>
    <r>
      <rPr>
        <sz val="11"/>
        <color theme="1"/>
        <rFont val="Calibri"/>
        <family val="2"/>
        <scheme val="minor"/>
      </rPr>
      <t xml:space="preserve"> and </t>
    </r>
    <r>
      <rPr>
        <b/>
        <u/>
        <sz val="11"/>
        <color theme="1"/>
        <rFont val="Calibri"/>
        <family val="2"/>
        <scheme val="minor"/>
      </rPr>
      <t>16.3%</t>
    </r>
    <r>
      <rPr>
        <sz val="11"/>
        <color theme="1"/>
        <rFont val="Calibri"/>
        <family val="2"/>
        <scheme val="minor"/>
      </rPr>
      <t xml:space="preserve"> in </t>
    </r>
    <r>
      <rPr>
        <b/>
        <u/>
        <sz val="11"/>
        <color theme="1"/>
        <rFont val="Calibri"/>
        <family val="2"/>
        <scheme val="minor"/>
      </rPr>
      <t>FY13</t>
    </r>
    <r>
      <rPr>
        <sz val="11"/>
        <color theme="1"/>
        <rFont val="Calibri"/>
        <family val="2"/>
        <scheme val="minor"/>
      </rPr>
      <t xml:space="preserve">. 
There is no F&amp;A on this request, per sponsor guidelines. / F&amp;A is calculated at ___%, per sponsor guielines.  / F&amp;A is calculated at </t>
    </r>
    <r>
      <rPr>
        <b/>
        <u/>
        <sz val="11"/>
        <color theme="1"/>
        <rFont val="Calibri"/>
        <family val="2"/>
        <scheme val="minor"/>
      </rPr>
      <t>53.5%</t>
    </r>
    <r>
      <rPr>
        <sz val="11"/>
        <color theme="1"/>
        <rFont val="Calibri"/>
        <family val="2"/>
        <scheme val="minor"/>
      </rPr>
      <t xml:space="preserve"> per university policy.</t>
    </r>
  </si>
  <si>
    <t>AF12</t>
  </si>
  <si>
    <t>Check</t>
  </si>
  <si>
    <t>PI Name</t>
  </si>
  <si>
    <t>Phone</t>
  </si>
  <si>
    <t>Department</t>
  </si>
  <si>
    <t>School</t>
  </si>
  <si>
    <t>617-627-0621</t>
  </si>
  <si>
    <t>617-627-3397</t>
  </si>
  <si>
    <t>617-627-3124</t>
  </si>
  <si>
    <t>617-627-0451</t>
  </si>
  <si>
    <t>617-627-5651</t>
  </si>
  <si>
    <t>617-627-4753</t>
  </si>
  <si>
    <t>617-627-3474</t>
  </si>
  <si>
    <t>617-627-3413</t>
  </si>
  <si>
    <t>617-627-3477</t>
  </si>
  <si>
    <t>617-627-3773</t>
  </si>
  <si>
    <t>617-627-3771</t>
  </si>
  <si>
    <t>617-627-3473</t>
  </si>
  <si>
    <t>617-627-3470</t>
  </si>
  <si>
    <t>Chemistry</t>
  </si>
  <si>
    <t>Arts &amp; Sciences</t>
  </si>
  <si>
    <t>Summer</t>
  </si>
  <si>
    <t>Academic</t>
  </si>
  <si>
    <t>Number of additional budgets:</t>
  </si>
  <si>
    <t>What Institution?</t>
  </si>
  <si>
    <t>Location</t>
  </si>
  <si>
    <t>Tuition Rate:</t>
  </si>
  <si>
    <t>Health Insurance Rate:</t>
  </si>
  <si>
    <t>Health Fees Rate:</t>
  </si>
  <si>
    <t>Spending Guidelines</t>
  </si>
  <si>
    <t>PI Phone</t>
  </si>
  <si>
    <t>PI Institution</t>
  </si>
  <si>
    <t>PI School</t>
  </si>
  <si>
    <t>Prime Sponsor</t>
  </si>
  <si>
    <t>Subcontracting Sponsor</t>
  </si>
  <si>
    <t>PI Effort Academic</t>
  </si>
  <si>
    <t>PI Effort Summer</t>
  </si>
  <si>
    <t>Room Location</t>
  </si>
  <si>
    <t>Due Date</t>
  </si>
  <si>
    <t>Compensation Inflation Factor:</t>
  </si>
  <si>
    <t>PI</t>
  </si>
  <si>
    <t>Postdoctoral Scholar</t>
  </si>
  <si>
    <t>Co-I</t>
  </si>
  <si>
    <t>Postdoctoral Scholars</t>
  </si>
  <si>
    <t>Subcontract (minus first $25k)</t>
  </si>
  <si>
    <t>Other - Consultant</t>
  </si>
  <si>
    <t>Signum University</t>
  </si>
  <si>
    <t>Signum</t>
  </si>
  <si>
    <t>BUDGET</t>
  </si>
  <si>
    <t xml:space="preserve">Expenses 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</si>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</sst>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7" formatCode="_(&quot;$&quot;* #,##0_);_(&quot;$&quot;* \(#,##0\);_(&quot;$&quot;* &quot;-&quot;??_);_(@_)"/>
    <numFmt numFmtId="169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u val="singleAccounting"/>
      <sz val="1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9BD5AA"/>
        <bgColor indexed="64"/>
      </patternFill>
    </fill>
    <fill>
      <patternFill patternType="solid">
        <fgColor rgb="FFC1E5CA"/>
        <bgColor indexed="64"/>
      </patternFill>
    </fill>
    <fill>
      <patternFill patternType="solid">
        <fgColor rgb="FF409A58"/>
        <bgColor indexed="64"/>
      </patternFill>
    </fill>
    <fill>
      <patternFill patternType="solid">
        <fgColor rgb="FF2C6A3C"/>
        <bgColor indexed="64"/>
      </patternFill>
    </fill>
    <fill>
      <patternFill patternType="solid">
        <fgColor rgb="FFFA989A"/>
        <bgColor indexed="64"/>
      </patternFill>
    </fill>
    <fill>
      <patternFill patternType="solid">
        <fgColor rgb="FFFCC4C5"/>
        <bgColor indexed="64"/>
      </patternFill>
    </fill>
    <fill>
      <patternFill patternType="solid">
        <fgColor rgb="FFF64044"/>
        <bgColor indexed="64"/>
      </patternFill>
    </fill>
    <fill>
      <patternFill patternType="solid">
        <fgColor rgb="FFD40A0F"/>
        <bgColor indexed="64"/>
      </patternFill>
    </fill>
    <fill>
      <patternFill patternType="solid">
        <fgColor rgb="FF638EC6"/>
        <bgColor indexed="64"/>
      </patternFill>
    </fill>
    <fill>
      <patternFill patternType="solid">
        <fgColor rgb="FF3C69A6"/>
        <bgColor indexed="64"/>
      </patternFill>
    </fill>
    <fill>
      <patternFill patternType="solid">
        <fgColor rgb="FF2A4A74"/>
        <bgColor indexed="64"/>
      </patternFill>
    </fill>
    <fill>
      <patternFill patternType="solid">
        <fgColor rgb="FF8BABD5"/>
        <bgColor indexed="64"/>
      </patternFill>
    </fill>
    <fill>
      <patternFill patternType="solid">
        <fgColor rgb="FFBCCE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70">
    <xf numFmtId="0" fontId="0" fillId="0" borderId="0" xfId="0"/>
    <xf numFmtId="0" fontId="0" fillId="0" borderId="0" xfId="0" applyAlignment="1">
      <alignment horizontal="right"/>
    </xf>
    <xf numFmtId="44" fontId="0" fillId="0" borderId="0" xfId="1" applyFont="1"/>
    <xf numFmtId="44" fontId="0" fillId="0" borderId="0" xfId="0" applyNumberFormat="1"/>
    <xf numFmtId="14" fontId="0" fillId="0" borderId="0" xfId="0" applyNumberFormat="1"/>
    <xf numFmtId="164" fontId="0" fillId="0" borderId="0" xfId="2" applyNumberFormat="1" applyFont="1"/>
    <xf numFmtId="164" fontId="0" fillId="0" borderId="0" xfId="0" applyNumberFormat="1"/>
    <xf numFmtId="44" fontId="0" fillId="0" borderId="1" xfId="1" applyFont="1" applyBorder="1"/>
    <xf numFmtId="164" fontId="0" fillId="0" borderId="1" xfId="0" applyNumberFormat="1" applyBorder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0" borderId="1" xfId="0" applyBorder="1"/>
    <xf numFmtId="9" fontId="2" fillId="0" borderId="0" xfId="2" applyFont="1" applyFill="1"/>
    <xf numFmtId="44" fontId="2" fillId="0" borderId="0" xfId="1" applyFont="1" applyFill="1"/>
    <xf numFmtId="0" fontId="5" fillId="0" borderId="0" xfId="0" applyFont="1"/>
    <xf numFmtId="0" fontId="2" fillId="0" borderId="0" xfId="0" applyFont="1" applyAlignment="1">
      <alignment horizontal="left" indent="2"/>
    </xf>
    <xf numFmtId="44" fontId="2" fillId="0" borderId="0" xfId="1" applyFont="1" applyFill="1" applyBorder="1"/>
    <xf numFmtId="0" fontId="5" fillId="0" borderId="1" xfId="0" applyFont="1" applyBorder="1"/>
    <xf numFmtId="44" fontId="6" fillId="0" borderId="0" xfId="0" applyNumberFormat="1" applyFont="1"/>
    <xf numFmtId="0" fontId="0" fillId="4" borderId="0" xfId="0" applyFill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5" borderId="0" xfId="1" applyFont="1" applyFill="1"/>
    <xf numFmtId="0" fontId="3" fillId="0" borderId="0" xfId="0" applyFont="1"/>
    <xf numFmtId="164" fontId="0" fillId="0" borderId="0" xfId="1" applyNumberFormat="1" applyFont="1" applyBorder="1"/>
    <xf numFmtId="0" fontId="3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3" applyNumberFormat="1" applyFont="1" applyFill="1" applyBorder="1"/>
    <xf numFmtId="0" fontId="0" fillId="0" borderId="0" xfId="3" applyNumberFormat="1" applyFont="1"/>
    <xf numFmtId="0" fontId="3" fillId="0" borderId="0" xfId="0" applyFont="1" applyAlignment="1">
      <alignment horizontal="left"/>
    </xf>
    <xf numFmtId="44" fontId="0" fillId="0" borderId="0" xfId="1" applyFont="1" applyProtection="1">
      <protection locked="0"/>
    </xf>
    <xf numFmtId="44" fontId="5" fillId="0" borderId="0" xfId="0" applyNumberFormat="1" applyFont="1" applyProtection="1">
      <protection locked="0"/>
    </xf>
    <xf numFmtId="0" fontId="0" fillId="7" borderId="0" xfId="0" applyFill="1"/>
    <xf numFmtId="0" fontId="2" fillId="6" borderId="0" xfId="0" applyFont="1" applyFill="1"/>
    <xf numFmtId="0" fontId="3" fillId="7" borderId="0" xfId="0" applyFont="1" applyFill="1" applyAlignment="1">
      <alignment horizontal="left" indent="1"/>
    </xf>
    <xf numFmtId="0" fontId="3" fillId="8" borderId="0" xfId="0" applyFont="1" applyFill="1" applyAlignment="1">
      <alignment horizontal="center"/>
    </xf>
    <xf numFmtId="0" fontId="3" fillId="8" borderId="1" xfId="0" applyFont="1" applyFill="1" applyBorder="1" applyAlignment="1">
      <alignment horizontal="center"/>
    </xf>
    <xf numFmtId="9" fontId="2" fillId="9" borderId="0" xfId="2" applyFont="1" applyFill="1"/>
    <xf numFmtId="44" fontId="2" fillId="9" borderId="2" xfId="1" applyFont="1" applyFill="1" applyBorder="1"/>
    <xf numFmtId="44" fontId="2" fillId="9" borderId="0" xfId="1" applyFont="1" applyFill="1"/>
    <xf numFmtId="9" fontId="2" fillId="10" borderId="0" xfId="2" applyFont="1" applyFill="1"/>
    <xf numFmtId="44" fontId="2" fillId="10" borderId="2" xfId="1" applyFont="1" applyFill="1" applyBorder="1"/>
    <xf numFmtId="44" fontId="2" fillId="10" borderId="0" xfId="1" applyFont="1" applyFill="1"/>
    <xf numFmtId="0" fontId="0" fillId="5" borderId="0" xfId="0" applyFill="1"/>
    <xf numFmtId="0" fontId="0" fillId="11" borderId="0" xfId="0" applyFill="1"/>
    <xf numFmtId="0" fontId="0" fillId="18" borderId="0" xfId="0" applyFill="1"/>
    <xf numFmtId="0" fontId="0" fillId="19" borderId="0" xfId="0" applyFill="1"/>
    <xf numFmtId="0" fontId="3" fillId="19" borderId="0" xfId="0" applyFont="1" applyFill="1" applyAlignment="1">
      <alignment horizontal="center"/>
    </xf>
    <xf numFmtId="0" fontId="4" fillId="15" borderId="0" xfId="0" applyFont="1" applyFill="1"/>
    <xf numFmtId="0" fontId="4" fillId="15" borderId="0" xfId="0" applyFont="1" applyFill="1" applyAlignment="1">
      <alignment horizontal="right"/>
    </xf>
    <xf numFmtId="9" fontId="2" fillId="16" borderId="0" xfId="2" applyFont="1" applyFill="1"/>
    <xf numFmtId="44" fontId="2" fillId="16" borderId="2" xfId="1" applyFont="1" applyFill="1" applyBorder="1"/>
    <xf numFmtId="44" fontId="2" fillId="16" borderId="0" xfId="1" applyFont="1" applyFill="1"/>
    <xf numFmtId="9" fontId="2" fillId="17" borderId="0" xfId="2" applyFont="1" applyFill="1"/>
    <xf numFmtId="44" fontId="2" fillId="17" borderId="2" xfId="1" applyFont="1" applyFill="1" applyBorder="1"/>
    <xf numFmtId="44" fontId="2" fillId="17" borderId="0" xfId="1" applyFont="1" applyFill="1"/>
    <xf numFmtId="9" fontId="2" fillId="14" borderId="0" xfId="2" applyFont="1" applyFill="1"/>
    <xf numFmtId="44" fontId="2" fillId="14" borderId="2" xfId="1" applyFont="1" applyFill="1" applyBorder="1"/>
    <xf numFmtId="44" fontId="2" fillId="14" borderId="0" xfId="1" applyFont="1" applyFill="1"/>
    <xf numFmtId="9" fontId="2" fillId="13" borderId="0" xfId="2" applyFont="1" applyFill="1"/>
    <xf numFmtId="44" fontId="2" fillId="13" borderId="0" xfId="1" applyFont="1" applyFill="1"/>
    <xf numFmtId="44" fontId="2" fillId="13" borderId="2" xfId="1" applyFont="1" applyFill="1" applyBorder="1"/>
    <xf numFmtId="0" fontId="4" fillId="5" borderId="0" xfId="0" applyFont="1" applyFill="1"/>
    <xf numFmtId="0" fontId="4" fillId="5" borderId="0" xfId="0" applyFont="1" applyFill="1" applyAlignment="1">
      <alignment horizontal="right"/>
    </xf>
    <xf numFmtId="0" fontId="3" fillId="12" borderId="0" xfId="0" applyFont="1" applyFill="1" applyAlignment="1">
      <alignment horizontal="center"/>
    </xf>
    <xf numFmtId="0" fontId="3" fillId="0" borderId="5" xfId="0" applyFont="1" applyBorder="1" applyAlignment="1">
      <alignment horizontal="center"/>
    </xf>
    <xf numFmtId="44" fontId="0" fillId="0" borderId="5" xfId="0" applyNumberFormat="1" applyBorder="1"/>
    <xf numFmtId="44" fontId="0" fillId="0" borderId="6" xfId="0" applyNumberFormat="1" applyBorder="1"/>
    <xf numFmtId="44" fontId="0" fillId="0" borderId="7" xfId="0" applyNumberFormat="1" applyBorder="1"/>
    <xf numFmtId="0" fontId="0" fillId="15" borderId="4" xfId="0" applyFill="1" applyBorder="1"/>
    <xf numFmtId="44" fontId="2" fillId="15" borderId="4" xfId="0" applyNumberFormat="1" applyFont="1" applyFill="1" applyBorder="1"/>
    <xf numFmtId="0" fontId="2" fillId="15" borderId="3" xfId="0" applyFont="1" applyFill="1" applyBorder="1" applyAlignment="1">
      <alignment horizontal="left" indent="1"/>
    </xf>
    <xf numFmtId="44" fontId="2" fillId="15" borderId="3" xfId="0" applyNumberFormat="1" applyFont="1" applyFill="1" applyBorder="1" applyAlignment="1">
      <alignment horizontal="left" indent="1"/>
    </xf>
    <xf numFmtId="0" fontId="2" fillId="15" borderId="0" xfId="0" applyFont="1" applyFill="1" applyAlignment="1">
      <alignment horizontal="left" indent="2"/>
    </xf>
    <xf numFmtId="0" fontId="2" fillId="5" borderId="0" xfId="0" applyFont="1" applyFill="1" applyAlignment="1">
      <alignment horizontal="left" indent="2"/>
    </xf>
    <xf numFmtId="0" fontId="2" fillId="6" borderId="0" xfId="0" applyFont="1" applyFill="1" applyAlignment="1">
      <alignment horizontal="left" indent="2"/>
    </xf>
    <xf numFmtId="0" fontId="0" fillId="12" borderId="0" xfId="0" applyFill="1" applyAlignment="1">
      <alignment horizontal="left"/>
    </xf>
    <xf numFmtId="44" fontId="0" fillId="12" borderId="0" xfId="1" applyFont="1" applyFill="1" applyAlignment="1">
      <alignment horizontal="left"/>
    </xf>
    <xf numFmtId="14" fontId="0" fillId="19" borderId="0" xfId="0" applyNumberFormat="1" applyFill="1" applyAlignment="1">
      <alignment horizontal="left"/>
    </xf>
    <xf numFmtId="0" fontId="0" fillId="19" borderId="0" xfId="0" applyFill="1" applyAlignment="1">
      <alignment horizontal="left"/>
    </xf>
    <xf numFmtId="44" fontId="2" fillId="5" borderId="0" xfId="1" applyFont="1" applyFill="1" applyBorder="1"/>
    <xf numFmtId="10" fontId="0" fillId="0" borderId="0" xfId="2" applyNumberFormat="1" applyFont="1"/>
    <xf numFmtId="0" fontId="4" fillId="6" borderId="0" xfId="0" applyFont="1" applyFill="1" applyAlignment="1">
      <alignment horizontal="right"/>
    </xf>
    <xf numFmtId="44" fontId="6" fillId="0" borderId="0" xfId="0" applyNumberFormat="1" applyFont="1" applyProtection="1">
      <protection locked="0"/>
    </xf>
    <xf numFmtId="0" fontId="3" fillId="18" borderId="8" xfId="0" applyFont="1" applyFill="1" applyBorder="1" applyAlignment="1">
      <alignment horizontal="left" indent="1"/>
    </xf>
    <xf numFmtId="0" fontId="3" fillId="4" borderId="8" xfId="0" applyFont="1" applyFill="1" applyBorder="1" applyAlignment="1">
      <alignment horizontal="left" indent="1"/>
    </xf>
    <xf numFmtId="44" fontId="2" fillId="13" borderId="0" xfId="1" applyFont="1" applyFill="1" applyBorder="1"/>
    <xf numFmtId="44" fontId="2" fillId="14" borderId="0" xfId="1" applyFont="1" applyFill="1" applyBorder="1"/>
    <xf numFmtId="0" fontId="3" fillId="11" borderId="8" xfId="0" applyFont="1" applyFill="1" applyBorder="1" applyAlignment="1">
      <alignment horizontal="left" indent="1"/>
    </xf>
    <xf numFmtId="2" fontId="4" fillId="6" borderId="0" xfId="0" applyNumberFormat="1" applyFont="1" applyFill="1" applyAlignment="1">
      <alignment horizontal="left"/>
    </xf>
    <xf numFmtId="44" fontId="0" fillId="0" borderId="0" xfId="1" applyFont="1" applyBorder="1"/>
    <xf numFmtId="44" fontId="2" fillId="9" borderId="0" xfId="1" applyFont="1" applyFill="1" applyBorder="1"/>
    <xf numFmtId="44" fontId="2" fillId="10" borderId="0" xfId="1" applyFont="1" applyFill="1" applyBorder="1"/>
    <xf numFmtId="2" fontId="4" fillId="15" borderId="0" xfId="2" applyNumberFormat="1" applyFont="1" applyFill="1" applyBorder="1" applyAlignment="1" applyProtection="1">
      <alignment horizontal="left"/>
      <protection locked="0"/>
    </xf>
    <xf numFmtId="44" fontId="2" fillId="16" borderId="0" xfId="1" applyFont="1" applyFill="1" applyBorder="1"/>
    <xf numFmtId="44" fontId="2" fillId="17" borderId="0" xfId="1" applyFont="1" applyFill="1" applyBorder="1"/>
    <xf numFmtId="165" fontId="4" fillId="5" borderId="0" xfId="2" applyNumberFormat="1" applyFont="1" applyFill="1" applyBorder="1" applyAlignment="1">
      <alignment horizontal="left"/>
    </xf>
    <xf numFmtId="165" fontId="4" fillId="2" borderId="0" xfId="2" applyNumberFormat="1" applyFont="1" applyFill="1" applyBorder="1" applyAlignment="1">
      <alignment horizontal="left"/>
    </xf>
    <xf numFmtId="0" fontId="2" fillId="16" borderId="0" xfId="0" applyFont="1" applyFill="1" applyAlignment="1">
      <alignment horizontal="left"/>
    </xf>
    <xf numFmtId="0" fontId="0" fillId="0" borderId="0" xfId="0" quotePrefix="1"/>
    <xf numFmtId="0" fontId="2" fillId="2" borderId="0" xfId="0" applyFont="1" applyFill="1" applyAlignment="1">
      <alignment horizontal="left" indent="2"/>
    </xf>
    <xf numFmtId="0" fontId="3" fillId="4" borderId="0" xfId="0" applyFont="1" applyFill="1" applyAlignment="1">
      <alignment horizontal="center"/>
    </xf>
    <xf numFmtId="44" fontId="0" fillId="19" borderId="0" xfId="1" applyFont="1" applyFill="1" applyAlignment="1">
      <alignment horizontal="left"/>
    </xf>
    <xf numFmtId="0" fontId="0" fillId="20" borderId="0" xfId="0" applyFill="1"/>
    <xf numFmtId="0" fontId="0" fillId="20" borderId="1" xfId="0" applyFill="1" applyBorder="1"/>
    <xf numFmtId="44" fontId="0" fillId="20" borderId="0" xfId="1" applyFont="1" applyFill="1" applyProtection="1">
      <protection locked="0"/>
    </xf>
    <xf numFmtId="44" fontId="0" fillId="20" borderId="0" xfId="1" applyFont="1" applyFill="1" applyBorder="1"/>
    <xf numFmtId="2" fontId="0" fillId="20" borderId="0" xfId="0" applyNumberFormat="1" applyFill="1"/>
    <xf numFmtId="1" fontId="0" fillId="0" borderId="0" xfId="0" applyNumberFormat="1"/>
    <xf numFmtId="2" fontId="0" fillId="0" borderId="0" xfId="0" applyNumberFormat="1"/>
    <xf numFmtId="0" fontId="3" fillId="7" borderId="8" xfId="0" applyFont="1" applyFill="1" applyBorder="1" applyAlignment="1">
      <alignment horizontal="left" indent="1"/>
    </xf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4" fontId="0" fillId="3" borderId="9" xfId="0" applyNumberFormat="1" applyFill="1" applyBorder="1" applyAlignment="1">
      <alignment horizontal="center"/>
    </xf>
    <xf numFmtId="44" fontId="0" fillId="3" borderId="9" xfId="1" applyFont="1" applyFill="1" applyBorder="1" applyAlignment="1">
      <alignment horizontal="left"/>
    </xf>
    <xf numFmtId="10" fontId="0" fillId="3" borderId="9" xfId="0" applyNumberFormat="1" applyFill="1" applyBorder="1" applyAlignment="1">
      <alignment horizontal="center"/>
    </xf>
    <xf numFmtId="0" fontId="0" fillId="3" borderId="0" xfId="0" applyFill="1" applyAlignment="1">
      <alignment horizontal="left" indent="2"/>
    </xf>
    <xf numFmtId="0" fontId="0" fillId="8" borderId="0" xfId="0" applyFill="1" applyAlignment="1">
      <alignment horizontal="left" indent="2"/>
    </xf>
    <xf numFmtId="44" fontId="0" fillId="8" borderId="8" xfId="1" applyFont="1" applyFill="1" applyBorder="1"/>
    <xf numFmtId="0" fontId="3" fillId="7" borderId="0" xfId="0" applyFont="1" applyFill="1" applyAlignment="1">
      <alignment horizontal="left" indent="2"/>
    </xf>
    <xf numFmtId="0" fontId="3" fillId="7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  <xf numFmtId="0" fontId="7" fillId="0" borderId="0" xfId="0" applyFont="1" applyAlignment="1">
      <alignment horizontal="left"/>
    </xf>
    <xf numFmtId="0" fontId="2" fillId="5" borderId="2" xfId="0" applyFont="1" applyFill="1" applyBorder="1" applyAlignment="1">
      <alignment horizontal="left" indent="2"/>
    </xf>
    <xf numFmtId="0" fontId="2" fillId="2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2"/>
    </xf>
    <xf numFmtId="0" fontId="5" fillId="0" borderId="0" xfId="0" applyFont="1" applyAlignment="1">
      <alignment horizontal="left" indent="2"/>
    </xf>
    <xf numFmtId="0" fontId="5" fillId="0" borderId="1" xfId="0" applyFont="1" applyBorder="1" applyAlignment="1">
      <alignment horizontal="left" indent="2"/>
    </xf>
    <xf numFmtId="0" fontId="8" fillId="0" borderId="0" xfId="0" applyFont="1" applyAlignment="1">
      <alignment horizontal="justify" vertical="justify" wrapText="1"/>
    </xf>
    <xf numFmtId="0" fontId="2" fillId="14" borderId="0" xfId="0" applyFont="1" applyFill="1" applyAlignment="1">
      <alignment horizontal="left" indent="2"/>
    </xf>
    <xf numFmtId="0" fontId="2" fillId="14" borderId="2" xfId="0" applyFont="1" applyFill="1" applyBorder="1" applyAlignment="1">
      <alignment horizontal="left" indent="2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19" borderId="1" xfId="0" applyFont="1" applyFill="1" applyBorder="1" applyAlignment="1">
      <alignment horizontal="center"/>
    </xf>
    <xf numFmtId="0" fontId="2" fillId="15" borderId="0" xfId="0" applyFont="1" applyFill="1" applyAlignment="1">
      <alignment horizontal="left"/>
    </xf>
    <xf numFmtId="0" fontId="0" fillId="20" borderId="1" xfId="0" applyFill="1" applyBorder="1" applyAlignment="1">
      <alignment horizontal="left" indent="2"/>
    </xf>
    <xf numFmtId="0" fontId="2" fillId="13" borderId="0" xfId="0" applyFont="1" applyFill="1" applyAlignment="1">
      <alignment horizontal="left" indent="2"/>
    </xf>
    <xf numFmtId="0" fontId="2" fillId="13" borderId="2" xfId="0" applyFont="1" applyFill="1" applyBorder="1" applyAlignment="1">
      <alignment horizontal="left" indent="2"/>
    </xf>
    <xf numFmtId="0" fontId="3" fillId="18" borderId="0" xfId="0" applyFont="1" applyFill="1" applyAlignment="1">
      <alignment horizontal="left" indent="1"/>
    </xf>
    <xf numFmtId="0" fontId="2" fillId="9" borderId="0" xfId="0" applyFont="1" applyFill="1" applyAlignment="1">
      <alignment horizontal="left"/>
    </xf>
    <xf numFmtId="0" fontId="2" fillId="9" borderId="2" xfId="0" applyFont="1" applyFill="1" applyBorder="1" applyAlignment="1">
      <alignment horizontal="left"/>
    </xf>
    <xf numFmtId="0" fontId="2" fillId="16" borderId="2" xfId="0" applyFont="1" applyFill="1" applyBorder="1" applyAlignment="1">
      <alignment horizontal="left"/>
    </xf>
    <xf numFmtId="0" fontId="2" fillId="5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3" fillId="8" borderId="1" xfId="0" applyFont="1" applyFill="1" applyBorder="1" applyAlignment="1">
      <alignment horizontal="left"/>
    </xf>
    <xf numFmtId="0" fontId="3" fillId="11" borderId="0" xfId="0" applyFont="1" applyFill="1" applyAlignment="1">
      <alignment horizontal="left" indent="1"/>
    </xf>
    <xf numFmtId="44" fontId="0" fillId="0" borderId="1" xfId="1" applyFont="1" applyBorder="1" applyProtection="1"/>
    <xf numFmtId="14" fontId="0" fillId="0" borderId="8" xfId="0" applyNumberFormat="1" applyBorder="1"/>
    <xf numFmtId="44" fontId="0" fillId="8" borderId="9" xfId="1" applyFont="1" applyFill="1" applyBorder="1"/>
    <xf numFmtId="44" fontId="0" fillId="8" borderId="0" xfId="1" applyFont="1" applyFill="1" applyBorder="1"/>
    <xf numFmtId="44" fontId="3" fillId="0" borderId="0" xfId="0" applyNumberFormat="1" applyFont="1"/>
    <xf numFmtId="14" fontId="0" fillId="21" borderId="0" xfId="0" applyNumberFormat="1" applyFill="1"/>
    <xf numFmtId="44" fontId="0" fillId="22" borderId="0" xfId="1" applyFont="1" applyFill="1"/>
    <xf numFmtId="44" fontId="0" fillId="0" borderId="0" xfId="1" applyFont="1" applyFill="1" applyBorder="1"/>
    <xf numFmtId="0" fontId="2" fillId="17" borderId="0" xfId="0" applyFont="1" applyFill="1" applyAlignment="1">
      <alignment horizontal="left"/>
    </xf>
    <xf numFmtId="0" fontId="3" fillId="3" borderId="1" xfId="0" applyFont="1" applyFill="1" applyBorder="1" applyAlignment="1">
      <alignment horizontal="center"/>
    </xf>
    <xf numFmtId="0" fontId="2" fillId="10" borderId="0" xfId="0" applyFont="1" applyFill="1" applyAlignment="1">
      <alignment horizontal="left"/>
    </xf>
    <xf numFmtId="0" fontId="0" fillId="0" borderId="0" xfId="0" applyAlignment="1">
      <alignment horizontal="left" indent="2"/>
    </xf>
    <xf numFmtId="0" fontId="0" fillId="20" borderId="0" xfId="0" applyFill="1" applyAlignment="1">
      <alignment horizontal="left" indent="2"/>
    </xf>
    <xf numFmtId="0" fontId="0" fillId="0" borderId="1" xfId="0" applyBorder="1" applyAlignment="1">
      <alignment horizontal="left" indent="2"/>
    </xf>
    <xf numFmtId="0" fontId="0" fillId="21" borderId="0" xfId="0" applyFill="1"/>
    <xf numFmtId="0" fontId="0" fillId="21" borderId="0" xfId="0" applyFill="1" applyAlignment="1">
      <alignment horizontal="left"/>
    </xf>
    <xf numFmtId="44" fontId="0" fillId="21" borderId="0" xfId="1" applyFont="1" applyFill="1"/>
    <xf numFmtId="0" fontId="3" fillId="12" borderId="1" xfId="0" applyFont="1" applyFill="1" applyBorder="1" applyAlignment="1">
      <alignment horizontal="center"/>
    </xf>
    <xf numFmtId="0" fontId="0" fillId="20" borderId="8" xfId="0" applyFill="1" applyBorder="1" applyAlignment="1">
      <alignment horizontal="left" indent="2"/>
    </xf>
    <xf numFmtId="14" fontId="0" fillId="0" borderId="0" xfId="0" applyNumberFormat="1" applyAlignment="1">
      <alignment horizontal="left"/>
    </xf>
    <xf numFmtId="164" fontId="0" fillId="12" borderId="0" xfId="2" applyNumberFormat="1" applyFont="1" applyFill="1" applyAlignment="1">
      <alignment horizontal="left"/>
    </xf>
    <xf numFmtId="0" fontId="6" fillId="0" borderId="0" xfId="0" applyFont="1" applyAlignment="1">
      <alignment horizontal="center" wrapText="1"/>
    </xf>
    <xf numFmtId="0" fontId="13" fillId="0" borderId="0" xfId="0" applyFont="1" applyAlignment="1">
      <alignment horizontal="right"/>
    </xf>
    <xf numFmtId="0" fontId="14" fillId="0" borderId="0" xfId="0" applyFont="1" applyAlignment="1">
      <alignment wrapText="1"/>
    </xf>
    <xf numFmtId="0" fontId="13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6" fillId="19" borderId="0" xfId="4" applyFont="1" applyFill="1"/>
    <xf numFmtId="2" fontId="0" fillId="0" borderId="0" xfId="0" applyNumberFormat="1" applyAlignment="1">
      <alignment horizontal="left"/>
    </xf>
    <xf numFmtId="14" fontId="0" fillId="3" borderId="8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44" fontId="0" fillId="3" borderId="0" xfId="1" applyFont="1" applyFill="1" applyBorder="1" applyAlignment="1">
      <alignment horizontal="left"/>
    </xf>
    <xf numFmtId="2" fontId="0" fillId="12" borderId="0" xfId="2" applyNumberFormat="1" applyFont="1" applyFill="1" applyAlignment="1">
      <alignment horizontal="left"/>
    </xf>
    <xf numFmtId="44" fontId="0" fillId="0" borderId="0" xfId="1" applyFont="1" applyBorder="1" applyAlignment="1">
      <alignment horizontal="left" indent="2"/>
    </xf>
    <xf numFmtId="8" fontId="0" fillId="19" borderId="0" xfId="1" applyNumberFormat="1" applyFont="1" applyFill="1" applyAlignment="1">
      <alignment horizontal="left"/>
    </xf>
    <xf numFmtId="0" fontId="6" fillId="19" borderId="0" xfId="4" applyFont="1" applyFill="1" applyAlignment="1">
      <alignment wrapText="1"/>
    </xf>
    <xf numFmtId="44" fontId="2" fillId="9" borderId="1" xfId="1" applyFont="1" applyFill="1" applyBorder="1"/>
    <xf numFmtId="0" fontId="3" fillId="8" borderId="8" xfId="0" applyFont="1" applyFill="1" applyBorder="1" applyAlignment="1">
      <alignment horizontal="left"/>
    </xf>
    <xf numFmtId="0" fontId="2" fillId="9" borderId="8" xfId="0" applyFont="1" applyFill="1" applyBorder="1" applyAlignment="1">
      <alignment horizontal="left"/>
    </xf>
    <xf numFmtId="0" fontId="0" fillId="23" borderId="0" xfId="0" applyFill="1"/>
    <xf numFmtId="0" fontId="2" fillId="23" borderId="0" xfId="0" applyFont="1" applyFill="1"/>
    <xf numFmtId="0" fontId="4" fillId="23" borderId="0" xfId="0" applyFont="1" applyFill="1" applyAlignment="1">
      <alignment horizontal="right"/>
    </xf>
    <xf numFmtId="2" fontId="4" fillId="23" borderId="0" xfId="0" applyNumberFormat="1" applyFont="1" applyFill="1" applyAlignment="1">
      <alignment horizontal="left"/>
    </xf>
    <xf numFmtId="0" fontId="0" fillId="24" borderId="0" xfId="0" applyFill="1"/>
    <xf numFmtId="0" fontId="3" fillId="24" borderId="0" xfId="0" applyFont="1" applyFill="1" applyAlignment="1">
      <alignment horizontal="left" indent="1"/>
    </xf>
    <xf numFmtId="0" fontId="3" fillId="25" borderId="0" xfId="0" applyFont="1" applyFill="1" applyAlignment="1">
      <alignment horizontal="left"/>
    </xf>
    <xf numFmtId="0" fontId="3" fillId="25" borderId="1" xfId="0" applyFont="1" applyFill="1" applyBorder="1" applyAlignment="1">
      <alignment horizontal="left"/>
    </xf>
    <xf numFmtId="0" fontId="3" fillId="25" borderId="0" xfId="0" applyFont="1" applyFill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2" fillId="23" borderId="0" xfId="0" applyFont="1" applyFill="1" applyAlignment="1">
      <alignment horizontal="left"/>
    </xf>
    <xf numFmtId="0" fontId="2" fillId="23" borderId="2" xfId="0" applyFont="1" applyFill="1" applyBorder="1" applyAlignment="1">
      <alignment horizontal="left"/>
    </xf>
    <xf numFmtId="9" fontId="2" fillId="23" borderId="0" xfId="2" applyFont="1" applyFill="1"/>
    <xf numFmtId="44" fontId="2" fillId="23" borderId="2" xfId="1" applyFont="1" applyFill="1" applyBorder="1"/>
    <xf numFmtId="0" fontId="2" fillId="24" borderId="0" xfId="0" applyFont="1" applyFill="1" applyAlignment="1">
      <alignment horizontal="left"/>
    </xf>
    <xf numFmtId="0" fontId="2" fillId="24" borderId="2" xfId="0" applyFont="1" applyFill="1" applyBorder="1" applyAlignment="1">
      <alignment horizontal="left"/>
    </xf>
    <xf numFmtId="9" fontId="2" fillId="24" borderId="0" xfId="2" applyFont="1" applyFill="1"/>
    <xf numFmtId="44" fontId="2" fillId="24" borderId="2" xfId="1" applyFont="1" applyFill="1" applyBorder="1"/>
    <xf numFmtId="0" fontId="5" fillId="24" borderId="0" xfId="0" applyFont="1" applyFill="1" applyAlignment="1">
      <alignment horizontal="left"/>
    </xf>
    <xf numFmtId="0" fontId="4" fillId="23" borderId="0" xfId="0" applyFont="1" applyFill="1"/>
    <xf numFmtId="0" fontId="2" fillId="24" borderId="0" xfId="0" applyFont="1" applyFill="1" applyAlignment="1">
      <alignment horizontal="left" indent="2"/>
    </xf>
    <xf numFmtId="0" fontId="2" fillId="24" borderId="2" xfId="0" applyFont="1" applyFill="1" applyBorder="1" applyAlignment="1">
      <alignment horizontal="left" indent="2"/>
    </xf>
    <xf numFmtId="0" fontId="2" fillId="23" borderId="0" xfId="0" applyFont="1" applyFill="1" applyAlignment="1">
      <alignment horizontal="left" indent="2"/>
    </xf>
    <xf numFmtId="0" fontId="2" fillId="23" borderId="2" xfId="0" applyFont="1" applyFill="1" applyBorder="1" applyAlignment="1">
      <alignment horizontal="left" indent="2"/>
    </xf>
    <xf numFmtId="0" fontId="5" fillId="24" borderId="0" xfId="0" applyFont="1" applyFill="1" applyAlignment="1">
      <alignment horizontal="left" indent="2"/>
    </xf>
    <xf numFmtId="0" fontId="5" fillId="24" borderId="2" xfId="0" applyFont="1" applyFill="1" applyBorder="1" applyAlignment="1">
      <alignment horizontal="left"/>
    </xf>
    <xf numFmtId="0" fontId="0" fillId="0" borderId="0" xfId="0" applyAlignment="1">
      <alignment horizontal="left" indent="2"/>
    </xf>
    <xf numFmtId="0" fontId="0" fillId="20" borderId="0" xfId="0" applyFill="1" applyAlignment="1">
      <alignment horizontal="left" indent="2"/>
    </xf>
    <xf numFmtId="0" fontId="0" fillId="20" borderId="1" xfId="0" applyFill="1" applyBorder="1" applyAlignment="1">
      <alignment horizontal="left" indent="2"/>
    </xf>
    <xf numFmtId="0" fontId="0" fillId="0" borderId="1" xfId="0" applyBorder="1" applyAlignment="1">
      <alignment horizontal="left" indent="2"/>
    </xf>
    <xf numFmtId="0" fontId="2" fillId="23" borderId="0" xfId="0" applyFont="1" applyFill="1" applyAlignment="1">
      <alignment horizontal="left"/>
    </xf>
    <xf numFmtId="0" fontId="2" fillId="23" borderId="2" xfId="0" applyFont="1" applyFill="1" applyBorder="1" applyAlignment="1">
      <alignment horizontal="left"/>
    </xf>
    <xf numFmtId="0" fontId="2" fillId="17" borderId="0" xfId="0" applyFont="1" applyFill="1" applyAlignment="1">
      <alignment horizontal="left"/>
    </xf>
    <xf numFmtId="0" fontId="2" fillId="17" borderId="2" xfId="0" applyFont="1" applyFill="1" applyBorder="1" applyAlignment="1">
      <alignment horizontal="left"/>
    </xf>
    <xf numFmtId="0" fontId="3" fillId="25" borderId="0" xfId="0" applyFont="1" applyFill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8" borderId="8" xfId="0" applyNumberFormat="1" applyFill="1" applyBorder="1" applyAlignment="1">
      <alignment horizontal="left" indent="2"/>
    </xf>
    <xf numFmtId="49" fontId="0" fillId="8" borderId="1" xfId="0" applyNumberFormat="1" applyFill="1" applyBorder="1" applyAlignment="1">
      <alignment horizontal="left" indent="2"/>
    </xf>
    <xf numFmtId="0" fontId="1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0" xfId="0" applyFont="1"/>
    <xf numFmtId="0" fontId="2" fillId="10" borderId="0" xfId="0" applyFont="1" applyFill="1" applyAlignment="1">
      <alignment horizontal="left"/>
    </xf>
    <xf numFmtId="0" fontId="2" fillId="10" borderId="2" xfId="0" applyFont="1" applyFill="1" applyBorder="1" applyAlignment="1">
      <alignment horizontal="left"/>
    </xf>
    <xf numFmtId="0" fontId="3" fillId="12" borderId="0" xfId="0" applyFont="1" applyFill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6" fillId="0" borderId="0" xfId="0" applyFont="1" applyAlignment="1">
      <alignment horizontal="right" wrapText="1"/>
    </xf>
    <xf numFmtId="0" fontId="2" fillId="16" borderId="0" xfId="0" applyFont="1" applyFill="1" applyAlignment="1">
      <alignment horizontal="left"/>
    </xf>
    <xf numFmtId="0" fontId="2" fillId="16" borderId="2" xfId="0" applyFont="1" applyFill="1" applyBorder="1" applyAlignment="1">
      <alignment horizontal="left"/>
    </xf>
    <xf numFmtId="0" fontId="0" fillId="0" borderId="0" xfId="0" applyAlignment="1">
      <alignment horizontal="left" wrapText="1"/>
    </xf>
    <xf numFmtId="167" fontId="0" fillId="0" borderId="0" xfId="1" applyNumberFormat="1" applyFont="1"/>
    <xf numFmtId="167" fontId="0" fillId="0" borderId="0" xfId="1" applyNumberFormat="1" applyFont="1" applyBorder="1"/>
    <xf numFmtId="167" fontId="20" fillId="0" borderId="0" xfId="0" applyNumberFormat="1" applyFont="1"/>
    <xf numFmtId="167" fontId="2" fillId="23" borderId="0" xfId="1" applyNumberFormat="1" applyFont="1" applyFill="1"/>
    <xf numFmtId="167" fontId="2" fillId="23" borderId="0" xfId="1" applyNumberFormat="1" applyFont="1" applyFill="1" applyBorder="1"/>
    <xf numFmtId="167" fontId="3" fillId="24" borderId="8" xfId="0" applyNumberFormat="1" applyFont="1" applyFill="1" applyBorder="1" applyAlignment="1">
      <alignment horizontal="left" indent="1"/>
    </xf>
    <xf numFmtId="167" fontId="0" fillId="24" borderId="0" xfId="0" applyNumberFormat="1" applyFill="1"/>
    <xf numFmtId="167" fontId="3" fillId="25" borderId="0" xfId="0" applyNumberFormat="1" applyFont="1" applyFill="1" applyAlignment="1">
      <alignment horizontal="center"/>
    </xf>
    <xf numFmtId="167" fontId="0" fillId="0" borderId="0" xfId="0" applyNumberFormat="1"/>
    <xf numFmtId="167" fontId="2" fillId="24" borderId="0" xfId="1" applyNumberFormat="1" applyFont="1" applyFill="1"/>
    <xf numFmtId="167" fontId="2" fillId="24" borderId="0" xfId="1" applyNumberFormat="1" applyFont="1" applyFill="1" applyBorder="1"/>
    <xf numFmtId="167" fontId="4" fillId="23" borderId="0" xfId="0" applyNumberFormat="1" applyFont="1" applyFill="1"/>
    <xf numFmtId="167" fontId="4" fillId="23" borderId="0" xfId="0" applyNumberFormat="1" applyFont="1" applyFill="1" applyAlignment="1">
      <alignment horizontal="right"/>
    </xf>
    <xf numFmtId="167" fontId="4" fillId="23" borderId="0" xfId="2" applyNumberFormat="1" applyFont="1" applyFill="1" applyBorder="1" applyAlignment="1" applyProtection="1">
      <alignment horizontal="left"/>
      <protection locked="0"/>
    </xf>
    <xf numFmtId="167" fontId="3" fillId="18" borderId="8" xfId="0" applyNumberFormat="1" applyFont="1" applyFill="1" applyBorder="1" applyAlignment="1">
      <alignment horizontal="left" indent="1"/>
    </xf>
    <xf numFmtId="167" fontId="0" fillId="18" borderId="0" xfId="0" applyNumberFormat="1" applyFill="1"/>
    <xf numFmtId="167" fontId="0" fillId="0" borderId="0" xfId="1" applyNumberFormat="1" applyFont="1" applyProtection="1">
      <protection locked="0"/>
    </xf>
    <xf numFmtId="167" fontId="0" fillId="0" borderId="0" xfId="1" applyNumberFormat="1" applyFont="1" applyFill="1" applyProtection="1">
      <protection locked="0"/>
    </xf>
    <xf numFmtId="167" fontId="0" fillId="0" borderId="0" xfId="1" applyNumberFormat="1" applyFont="1" applyFill="1" applyBorder="1"/>
    <xf numFmtId="167" fontId="0" fillId="20" borderId="0" xfId="1" applyNumberFormat="1" applyFont="1" applyFill="1" applyProtection="1">
      <protection locked="0"/>
    </xf>
    <xf numFmtId="167" fontId="0" fillId="20" borderId="0" xfId="1" applyNumberFormat="1" applyFont="1" applyFill="1" applyBorder="1"/>
    <xf numFmtId="167" fontId="2" fillId="17" borderId="0" xfId="1" applyNumberFormat="1" applyFont="1" applyFill="1"/>
    <xf numFmtId="167" fontId="4" fillId="23" borderId="0" xfId="2" applyNumberFormat="1" applyFont="1" applyFill="1" applyBorder="1" applyAlignment="1">
      <alignment horizontal="left"/>
    </xf>
    <xf numFmtId="167" fontId="2" fillId="0" borderId="0" xfId="1" applyNumberFormat="1" applyFont="1" applyFill="1"/>
    <xf numFmtId="167" fontId="2" fillId="0" borderId="0" xfId="1" applyNumberFormat="1" applyFont="1" applyFill="1" applyBorder="1"/>
    <xf numFmtId="44" fontId="3" fillId="0" borderId="4" xfId="0" applyNumberFormat="1" applyFont="1" applyBorder="1" applyAlignment="1">
      <alignment horizontal="center"/>
    </xf>
    <xf numFmtId="169" fontId="0" fillId="0" borderId="0" xfId="3" applyNumberFormat="1" applyFont="1"/>
    <xf numFmtId="37" fontId="0" fillId="8" borderId="0" xfId="3" applyNumberFormat="1" applyFont="1" applyFill="1" applyAlignment="1">
      <alignment horizontal="center"/>
    </xf>
    <xf numFmtId="37" fontId="3" fillId="8" borderId="0" xfId="3" applyNumberFormat="1" applyFont="1" applyFill="1" applyAlignment="1">
      <alignment horizontal="center"/>
    </xf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18"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b/>
        <i val="0"/>
        <strike val="0"/>
        <color rgb="FFF8696B"/>
      </font>
    </dxf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b/>
        <i val="0"/>
        <strike val="0"/>
        <color rgb="FFF8696B"/>
      </font>
    </dxf>
    <dxf>
      <font>
        <b/>
        <i val="0"/>
        <strike val="0"/>
        <color rgb="FFF8696B"/>
      </font>
    </dxf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b/>
        <i val="0"/>
        <strike val="0"/>
        <color rgb="FFF8696B"/>
      </font>
    </dxf>
    <dxf>
      <font>
        <color rgb="FFF8696B"/>
      </font>
      <fill>
        <gradientFill>
          <stop position="0">
            <color theme="0"/>
          </stop>
          <stop position="1">
            <color rgb="FFF8696B"/>
          </stop>
        </gradientFill>
      </fill>
    </dxf>
    <dxf>
      <font>
        <color rgb="FFF8696B"/>
      </font>
      <fill>
        <gradientFill degree="180">
          <stop position="0">
            <color theme="0"/>
          </stop>
          <stop position="1">
            <color rgb="FFF8696B"/>
          </stop>
        </gradientFill>
      </fill>
    </dxf>
    <dxf>
      <font>
        <b/>
        <i val="0"/>
        <strike val="0"/>
        <color rgb="FFF8696B"/>
      </font>
    </dxf>
    <dxf>
      <font>
        <b/>
        <i val="0"/>
        <strike val="0"/>
        <color rgb="FFF8696B"/>
      </font>
    </dxf>
  </dxfs>
  <tableStyles count="0" defaultTableStyle="TableStyleMedium9" defaultPivotStyle="PivotStyleLight16"/>
  <colors>
    <mruColors>
      <color rgb="FFC1E5CA"/>
      <color rgb="FF638EC6"/>
      <color rgb="FFBCCEE6"/>
      <color rgb="FF9BD5AA"/>
      <color rgb="FF63BE7B"/>
      <color rgb="FFFA989A"/>
      <color rgb="FFF8696B"/>
      <color rgb="FFFCC4C5"/>
      <color rgb="FFF64044"/>
      <color rgb="FFD40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45</xdr:row>
          <xdr:rowOff>0</xdr:rowOff>
        </xdr:from>
        <xdr:to>
          <xdr:col>3</xdr:col>
          <xdr:colOff>28575</xdr:colOff>
          <xdr:row>45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45</xdr:row>
          <xdr:rowOff>0</xdr:rowOff>
        </xdr:from>
        <xdr:to>
          <xdr:col>5</xdr:col>
          <xdr:colOff>647700</xdr:colOff>
          <xdr:row>45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0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0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0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0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0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0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0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0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0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0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0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0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0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0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0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0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0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0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0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0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0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0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0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0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0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0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0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0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0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0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0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0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0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0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0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0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0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0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0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0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0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0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0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0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0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0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0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0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0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0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0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0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0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0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0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0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0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0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0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0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0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0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0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0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0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0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0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0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0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0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0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0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0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0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0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0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0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0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0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0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0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0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0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0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0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0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0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0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0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0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0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0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0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0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0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0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0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0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0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0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0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0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0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0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0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0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0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0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0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0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33" name="Button 313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0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34" name="Button 314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0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35" name="Button 315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0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36" name="Button 316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0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37" name="Button 317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0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38" name="Button 318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0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39" name="Button 319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0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40" name="Button 320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0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41" name="Button 321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0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42" name="Button 322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0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43" name="Button 323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0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5444" name="Button 324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0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45" name="Button 325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0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46" name="Button 326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0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47" name="Button 327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0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48" name="Button 328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0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49" name="Button 329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0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50" name="Button 330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0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51" name="Button 331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0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52" name="Button 332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0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53" name="Button 333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0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54" name="Button 334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0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55" name="Button 335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0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56" name="Button 336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0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57" name="Button 337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0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58" name="Button 338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0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59" name="Button 339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0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60" name="Button 340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0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5461" name="Button 341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0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5462" name="Button 342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0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5463" name="Button 343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0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5464" name="Button 344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0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1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1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1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125</xdr:row>
          <xdr:rowOff>28575</xdr:rowOff>
        </xdr:from>
        <xdr:to>
          <xdr:col>3</xdr:col>
          <xdr:colOff>28575</xdr:colOff>
          <xdr:row>127</xdr:row>
          <xdr:rowOff>0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1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125</xdr:row>
          <xdr:rowOff>0</xdr:rowOff>
        </xdr:from>
        <xdr:to>
          <xdr:col>5</xdr:col>
          <xdr:colOff>647700</xdr:colOff>
          <xdr:row>126</xdr:row>
          <xdr:rowOff>180975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1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1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5</xdr:col>
          <xdr:colOff>0</xdr:colOff>
          <xdr:row>85</xdr:row>
          <xdr:rowOff>0</xdr:rowOff>
        </xdr:to>
        <xdr:sp macro="" textlink="">
          <xdr:nvSpPr>
            <xdr:cNvPr id="12313" name="Button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1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Salary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561975</xdr:colOff>
          <xdr:row>0</xdr:row>
          <xdr:rowOff>0</xdr:rowOff>
        </xdr:to>
        <xdr:sp macro="" textlink="">
          <xdr:nvSpPr>
            <xdr:cNvPr id="6335" name="Button 191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2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Compensation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0</xdr:row>
          <xdr:rowOff>0</xdr:rowOff>
        </xdr:from>
        <xdr:to>
          <xdr:col>6</xdr:col>
          <xdr:colOff>0</xdr:colOff>
          <xdr:row>0</xdr:row>
          <xdr:rowOff>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2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Print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9525</xdr:rowOff>
        </xdr:from>
        <xdr:to>
          <xdr:col>3</xdr:col>
          <xdr:colOff>561975</xdr:colOff>
          <xdr:row>16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Compensation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15</xdr:row>
          <xdr:rowOff>9525</xdr:rowOff>
        </xdr:from>
        <xdr:to>
          <xdr:col>5</xdr:col>
          <xdr:colOff>752475</xdr:colOff>
          <xdr:row>16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Print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7.xml"/><Relationship Id="rId13" Type="http://schemas.openxmlformats.org/officeDocument/2006/relationships/ctrlProp" Target="../ctrlProps/ctrlProp322.xml"/><Relationship Id="rId18" Type="http://schemas.openxmlformats.org/officeDocument/2006/relationships/ctrlProp" Target="../ctrlProps/ctrlProp327.xml"/><Relationship Id="rId26" Type="http://schemas.openxmlformats.org/officeDocument/2006/relationships/ctrlProp" Target="../ctrlProps/ctrlProp33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30.xml"/><Relationship Id="rId7" Type="http://schemas.openxmlformats.org/officeDocument/2006/relationships/ctrlProp" Target="../ctrlProps/ctrlProp316.xml"/><Relationship Id="rId12" Type="http://schemas.openxmlformats.org/officeDocument/2006/relationships/ctrlProp" Target="../ctrlProps/ctrlProp321.xml"/><Relationship Id="rId17" Type="http://schemas.openxmlformats.org/officeDocument/2006/relationships/ctrlProp" Target="../ctrlProps/ctrlProp326.xml"/><Relationship Id="rId25" Type="http://schemas.openxmlformats.org/officeDocument/2006/relationships/ctrlProp" Target="../ctrlProps/ctrlProp33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5.xml"/><Relationship Id="rId20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5.xml"/><Relationship Id="rId11" Type="http://schemas.openxmlformats.org/officeDocument/2006/relationships/ctrlProp" Target="../ctrlProps/ctrlProp320.xml"/><Relationship Id="rId24" Type="http://schemas.openxmlformats.org/officeDocument/2006/relationships/ctrlProp" Target="../ctrlProps/ctrlProp333.xml"/><Relationship Id="rId5" Type="http://schemas.openxmlformats.org/officeDocument/2006/relationships/ctrlProp" Target="../ctrlProps/ctrlProp314.xml"/><Relationship Id="rId15" Type="http://schemas.openxmlformats.org/officeDocument/2006/relationships/ctrlProp" Target="../ctrlProps/ctrlProp324.xml"/><Relationship Id="rId23" Type="http://schemas.openxmlformats.org/officeDocument/2006/relationships/ctrlProp" Target="../ctrlProps/ctrlProp332.xml"/><Relationship Id="rId10" Type="http://schemas.openxmlformats.org/officeDocument/2006/relationships/ctrlProp" Target="../ctrlProps/ctrlProp319.xml"/><Relationship Id="rId19" Type="http://schemas.openxmlformats.org/officeDocument/2006/relationships/ctrlProp" Target="../ctrlProps/ctrlProp328.xml"/><Relationship Id="rId4" Type="http://schemas.openxmlformats.org/officeDocument/2006/relationships/ctrlProp" Target="../ctrlProps/ctrlProp313.xml"/><Relationship Id="rId9" Type="http://schemas.openxmlformats.org/officeDocument/2006/relationships/ctrlProp" Target="../ctrlProps/ctrlProp318.xml"/><Relationship Id="rId14" Type="http://schemas.openxmlformats.org/officeDocument/2006/relationships/ctrlProp" Target="../ctrlProps/ctrlProp323.xml"/><Relationship Id="rId22" Type="http://schemas.openxmlformats.org/officeDocument/2006/relationships/ctrlProp" Target="../ctrlProps/ctrlProp331.xml"/><Relationship Id="rId27" Type="http://schemas.openxmlformats.org/officeDocument/2006/relationships/ctrlProp" Target="../ctrlProps/ctrlProp33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38.xml"/><Relationship Id="rId4" Type="http://schemas.openxmlformats.org/officeDocument/2006/relationships/ctrlProp" Target="../ctrlProps/ctrlProp33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4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25"/>
  <sheetViews>
    <sheetView workbookViewId="0">
      <selection activeCell="B33" sqref="B33:F33"/>
    </sheetView>
  </sheetViews>
  <sheetFormatPr defaultColWidth="9.140625" defaultRowHeight="15" outlineLevelRow="1" x14ac:dyDescent="0.25"/>
  <cols>
    <col min="1" max="1" width="45.140625" style="1" bestFit="1" customWidth="1"/>
    <col min="2" max="2" width="15.42578125" bestFit="1" customWidth="1"/>
    <col min="3" max="3" width="16" customWidth="1"/>
    <col min="4" max="4" width="16.28515625" customWidth="1"/>
    <col min="5" max="5" width="19.42578125" style="1" customWidth="1"/>
    <col min="6" max="6" width="12.42578125" bestFit="1" customWidth="1"/>
    <col min="7" max="7" width="18.42578125" bestFit="1" customWidth="1"/>
    <col min="8" max="8" width="27.42578125" style="1" bestFit="1" customWidth="1"/>
    <col min="9" max="9" width="12.42578125" customWidth="1"/>
    <col min="10" max="16" width="9.140625" hidden="1" customWidth="1"/>
  </cols>
  <sheetData>
    <row r="1" spans="1:14" x14ac:dyDescent="0.25">
      <c r="A1" s="74" t="s">
        <v>47</v>
      </c>
      <c r="B1" s="49"/>
      <c r="C1" s="49"/>
      <c r="D1" s="49"/>
      <c r="E1" s="50"/>
      <c r="F1" s="49"/>
      <c r="G1" s="49"/>
      <c r="H1" s="50"/>
      <c r="I1" s="49"/>
    </row>
    <row r="2" spans="1:14" x14ac:dyDescent="0.25">
      <c r="A2" s="1" t="s">
        <v>44</v>
      </c>
      <c r="B2" s="47" t="s">
        <v>51</v>
      </c>
      <c r="E2" s="1" t="s">
        <v>161</v>
      </c>
      <c r="F2" s="180"/>
      <c r="M2" t="s">
        <v>51</v>
      </c>
      <c r="N2" t="s">
        <v>51</v>
      </c>
    </row>
    <row r="3" spans="1:14" x14ac:dyDescent="0.25">
      <c r="A3" s="1" t="s">
        <v>38</v>
      </c>
      <c r="B3" s="47"/>
      <c r="E3" s="1" t="s">
        <v>35</v>
      </c>
      <c r="F3" s="80"/>
      <c r="H3" s="1" t="s">
        <v>39</v>
      </c>
      <c r="I3" s="80"/>
      <c r="M3" t="s">
        <v>52</v>
      </c>
      <c r="N3" t="s">
        <v>120</v>
      </c>
    </row>
    <row r="4" spans="1:14" x14ac:dyDescent="0.25">
      <c r="A4" s="1" t="s">
        <v>43</v>
      </c>
      <c r="B4" s="181"/>
      <c r="E4" s="1" t="s">
        <v>132</v>
      </c>
      <c r="F4" s="79"/>
      <c r="M4" t="s">
        <v>53</v>
      </c>
      <c r="N4" t="s">
        <v>177</v>
      </c>
    </row>
    <row r="5" spans="1:14" x14ac:dyDescent="0.25">
      <c r="A5" s="1" t="s">
        <v>54</v>
      </c>
      <c r="B5" s="80">
        <v>5</v>
      </c>
      <c r="E5" s="1" t="s">
        <v>133</v>
      </c>
      <c r="F5" s="80"/>
      <c r="N5" t="s">
        <v>121</v>
      </c>
    </row>
    <row r="6" spans="1:14" x14ac:dyDescent="0.25">
      <c r="A6" s="1" t="s">
        <v>42</v>
      </c>
      <c r="B6" s="79"/>
      <c r="E6" s="1" t="s">
        <v>60</v>
      </c>
      <c r="F6" s="79"/>
      <c r="N6" t="s">
        <v>122</v>
      </c>
    </row>
    <row r="7" spans="1:14" x14ac:dyDescent="0.25">
      <c r="A7" s="1" t="s">
        <v>37</v>
      </c>
      <c r="B7" s="80" t="s">
        <v>53</v>
      </c>
      <c r="E7" s="1" t="s">
        <v>41</v>
      </c>
      <c r="F7" s="80"/>
      <c r="H7" s="1" t="s">
        <v>224</v>
      </c>
      <c r="I7" s="80" t="s">
        <v>51</v>
      </c>
      <c r="N7" t="s">
        <v>123</v>
      </c>
    </row>
    <row r="8" spans="1:14" x14ac:dyDescent="0.25">
      <c r="A8" s="1" t="s">
        <v>36</v>
      </c>
      <c r="B8" s="80" t="s">
        <v>53</v>
      </c>
      <c r="E8" s="1" t="s">
        <v>40</v>
      </c>
      <c r="F8" s="80"/>
      <c r="M8" t="s">
        <v>51</v>
      </c>
      <c r="N8" t="s">
        <v>124</v>
      </c>
    </row>
    <row r="9" spans="1:14" x14ac:dyDescent="0.25">
      <c r="F9" s="174"/>
      <c r="M9">
        <v>1</v>
      </c>
      <c r="N9" t="s">
        <v>125</v>
      </c>
    </row>
    <row r="10" spans="1:14" x14ac:dyDescent="0.25">
      <c r="A10" s="101" t="s">
        <v>158</v>
      </c>
      <c r="B10" s="10"/>
      <c r="C10" s="10"/>
      <c r="D10" s="10"/>
      <c r="E10" s="10"/>
      <c r="F10" s="10"/>
      <c r="G10" s="10"/>
      <c r="H10" s="10"/>
      <c r="I10" s="10"/>
      <c r="M10">
        <v>2</v>
      </c>
      <c r="N10" t="s">
        <v>178</v>
      </c>
    </row>
    <row r="11" spans="1:14" x14ac:dyDescent="0.25">
      <c r="A11" s="126" t="s">
        <v>159</v>
      </c>
      <c r="B11" s="126" t="s">
        <v>160</v>
      </c>
      <c r="C11" s="102" t="s">
        <v>156</v>
      </c>
      <c r="D11" s="102" t="s">
        <v>165</v>
      </c>
      <c r="E11" s="102" t="s">
        <v>12</v>
      </c>
      <c r="F11" s="126" t="s">
        <v>11</v>
      </c>
      <c r="G11" s="126" t="s">
        <v>162</v>
      </c>
      <c r="H11" s="126" t="s">
        <v>163</v>
      </c>
      <c r="I11" s="126" t="s">
        <v>164</v>
      </c>
      <c r="J11" t="s">
        <v>202</v>
      </c>
      <c r="M11">
        <v>3</v>
      </c>
      <c r="N11" t="s">
        <v>126</v>
      </c>
    </row>
    <row r="12" spans="1:14" x14ac:dyDescent="0.25">
      <c r="A12" s="117" t="s">
        <v>7</v>
      </c>
      <c r="B12" s="112">
        <v>1</v>
      </c>
      <c r="C12" s="114"/>
      <c r="D12" s="114"/>
      <c r="E12" s="115"/>
      <c r="F12" s="116"/>
      <c r="G12" s="113"/>
      <c r="H12" s="113"/>
      <c r="I12">
        <f>G12+H12</f>
        <v>0</v>
      </c>
      <c r="J12" t="b">
        <f>IF(AND(A12="PI, Summer",$I12&lt;=3),TRUE,FALSE)</f>
        <v>1</v>
      </c>
      <c r="M12">
        <v>4</v>
      </c>
      <c r="N12" t="s">
        <v>127</v>
      </c>
    </row>
    <row r="13" spans="1:14" x14ac:dyDescent="0.25">
      <c r="A13" s="117" t="s">
        <v>101</v>
      </c>
      <c r="B13" s="112">
        <v>1</v>
      </c>
      <c r="C13" s="114"/>
      <c r="D13" s="114"/>
      <c r="E13" s="115"/>
      <c r="F13" s="116"/>
      <c r="G13" s="113"/>
      <c r="H13" s="113"/>
      <c r="I13">
        <f t="shared" ref="I13:I21" si="0">G13+H13</f>
        <v>0</v>
      </c>
      <c r="M13">
        <v>5</v>
      </c>
      <c r="N13" t="s">
        <v>129</v>
      </c>
    </row>
    <row r="14" spans="1:14" x14ac:dyDescent="0.25">
      <c r="A14" s="117" t="s">
        <v>155</v>
      </c>
      <c r="B14" s="112">
        <v>1</v>
      </c>
      <c r="C14" s="114"/>
      <c r="D14" s="114"/>
      <c r="E14" s="115"/>
      <c r="F14" s="116"/>
      <c r="G14" s="113"/>
      <c r="H14" s="113"/>
      <c r="I14">
        <f t="shared" si="0"/>
        <v>0</v>
      </c>
      <c r="M14">
        <v>6</v>
      </c>
      <c r="N14" t="s">
        <v>119</v>
      </c>
    </row>
    <row r="15" spans="1:14" x14ac:dyDescent="0.25">
      <c r="A15" s="117" t="s">
        <v>155</v>
      </c>
      <c r="B15" s="112">
        <v>1</v>
      </c>
      <c r="C15" s="114"/>
      <c r="D15" s="114"/>
      <c r="E15" s="115"/>
      <c r="F15" s="116"/>
      <c r="G15" s="113"/>
      <c r="H15" s="113"/>
      <c r="I15">
        <f t="shared" si="0"/>
        <v>0</v>
      </c>
      <c r="M15">
        <v>7</v>
      </c>
      <c r="N15" t="s">
        <v>128</v>
      </c>
    </row>
    <row r="16" spans="1:14" x14ac:dyDescent="0.25">
      <c r="A16" s="117" t="s">
        <v>15</v>
      </c>
      <c r="B16" s="112">
        <v>1</v>
      </c>
      <c r="C16" s="114"/>
      <c r="D16" s="114"/>
      <c r="E16" s="115"/>
      <c r="F16" s="116"/>
      <c r="G16" s="113"/>
      <c r="H16" s="113"/>
      <c r="I16">
        <f t="shared" si="0"/>
        <v>0</v>
      </c>
      <c r="M16">
        <v>8</v>
      </c>
      <c r="N16" t="s">
        <v>130</v>
      </c>
    </row>
    <row r="17" spans="1:16" x14ac:dyDescent="0.25">
      <c r="A17" s="117" t="s">
        <v>15</v>
      </c>
      <c r="B17" s="112">
        <v>1</v>
      </c>
      <c r="C17" s="114"/>
      <c r="D17" s="114"/>
      <c r="E17" s="115"/>
      <c r="F17" s="116"/>
      <c r="G17" s="113"/>
      <c r="H17" s="113"/>
      <c r="I17">
        <f t="shared" si="0"/>
        <v>0</v>
      </c>
      <c r="M17">
        <v>9</v>
      </c>
      <c r="N17" t="s">
        <v>131</v>
      </c>
    </row>
    <row r="18" spans="1:16" x14ac:dyDescent="0.25">
      <c r="A18" s="117" t="s">
        <v>15</v>
      </c>
      <c r="B18" s="113">
        <v>1</v>
      </c>
      <c r="C18" s="114"/>
      <c r="D18" s="114"/>
      <c r="E18" s="115"/>
      <c r="F18" s="116"/>
      <c r="G18" s="113"/>
      <c r="H18" s="113"/>
      <c r="I18">
        <f t="shared" si="0"/>
        <v>0</v>
      </c>
      <c r="M18">
        <v>10</v>
      </c>
    </row>
    <row r="19" spans="1:16" x14ac:dyDescent="0.25">
      <c r="A19" s="117" t="s">
        <v>17</v>
      </c>
      <c r="B19" s="113">
        <v>1</v>
      </c>
      <c r="C19" s="114"/>
      <c r="D19" s="114"/>
      <c r="E19" s="115"/>
      <c r="F19" s="116"/>
      <c r="G19" s="113"/>
      <c r="H19" s="113"/>
      <c r="I19">
        <f t="shared" si="0"/>
        <v>0</v>
      </c>
      <c r="N19" t="s">
        <v>51</v>
      </c>
      <c r="O19" t="s">
        <v>222</v>
      </c>
      <c r="P19" t="s">
        <v>223</v>
      </c>
    </row>
    <row r="20" spans="1:16" x14ac:dyDescent="0.25">
      <c r="A20" s="117" t="s">
        <v>17</v>
      </c>
      <c r="B20" s="113">
        <v>1</v>
      </c>
      <c r="C20" s="114"/>
      <c r="D20" s="114"/>
      <c r="E20" s="115"/>
      <c r="F20" s="116"/>
      <c r="G20" s="113"/>
      <c r="H20" s="113"/>
      <c r="I20">
        <f t="shared" si="0"/>
        <v>0</v>
      </c>
      <c r="N20" t="s">
        <v>7</v>
      </c>
      <c r="O20">
        <v>3</v>
      </c>
      <c r="P20">
        <v>0</v>
      </c>
    </row>
    <row r="21" spans="1:16" x14ac:dyDescent="0.25">
      <c r="A21" s="117" t="s">
        <v>51</v>
      </c>
      <c r="B21" s="113"/>
      <c r="C21" s="114"/>
      <c r="D21" s="114"/>
      <c r="E21" s="115"/>
      <c r="F21" s="116"/>
      <c r="G21" s="113"/>
      <c r="H21" s="113"/>
      <c r="I21">
        <f t="shared" si="0"/>
        <v>0</v>
      </c>
      <c r="N21" t="s">
        <v>8</v>
      </c>
      <c r="O21">
        <v>0</v>
      </c>
      <c r="P21">
        <v>9</v>
      </c>
    </row>
    <row r="22" spans="1:16" x14ac:dyDescent="0.25">
      <c r="B22" s="109"/>
      <c r="N22" t="s">
        <v>191</v>
      </c>
      <c r="O22">
        <v>3</v>
      </c>
      <c r="P22">
        <v>9</v>
      </c>
    </row>
    <row r="23" spans="1:16" x14ac:dyDescent="0.25">
      <c r="A23" s="76" t="s">
        <v>179</v>
      </c>
      <c r="B23" s="34"/>
      <c r="C23" s="34"/>
      <c r="D23" s="34"/>
      <c r="E23" s="34"/>
      <c r="F23" s="34"/>
      <c r="G23" s="34"/>
      <c r="H23" s="34"/>
      <c r="I23" s="34"/>
      <c r="N23" t="s">
        <v>101</v>
      </c>
      <c r="O23">
        <v>3</v>
      </c>
      <c r="P23">
        <v>0</v>
      </c>
    </row>
    <row r="24" spans="1:16" x14ac:dyDescent="0.25">
      <c r="A24" s="120" t="s">
        <v>180</v>
      </c>
      <c r="B24" s="120" t="s">
        <v>3</v>
      </c>
      <c r="C24" s="121" t="s">
        <v>4</v>
      </c>
      <c r="D24" s="121" t="s">
        <v>147</v>
      </c>
      <c r="E24" s="121" t="s">
        <v>151</v>
      </c>
      <c r="F24" s="120" t="s">
        <v>152</v>
      </c>
      <c r="G24" s="120" t="s">
        <v>183</v>
      </c>
      <c r="H24" s="120"/>
      <c r="I24" s="120" t="s">
        <v>164</v>
      </c>
      <c r="N24" t="s">
        <v>102</v>
      </c>
      <c r="O24">
        <v>0</v>
      </c>
      <c r="P24">
        <v>9</v>
      </c>
    </row>
    <row r="25" spans="1:16" x14ac:dyDescent="0.25">
      <c r="A25" s="118" t="s">
        <v>20</v>
      </c>
      <c r="B25" s="119">
        <v>0</v>
      </c>
      <c r="C25" s="119">
        <v>0</v>
      </c>
      <c r="D25" s="119">
        <v>0</v>
      </c>
      <c r="E25" s="119"/>
      <c r="F25" s="119"/>
      <c r="G25" s="222"/>
      <c r="H25" s="223"/>
      <c r="I25" s="3">
        <f>SUM(B25:F25)</f>
        <v>0</v>
      </c>
      <c r="N25" t="s">
        <v>192</v>
      </c>
      <c r="O25">
        <v>3</v>
      </c>
      <c r="P25">
        <v>9</v>
      </c>
    </row>
    <row r="26" spans="1:16" x14ac:dyDescent="0.25">
      <c r="A26" s="118" t="s">
        <v>181</v>
      </c>
      <c r="B26" s="119">
        <v>0</v>
      </c>
      <c r="C26" s="119">
        <v>0</v>
      </c>
      <c r="D26" s="119">
        <v>0</v>
      </c>
      <c r="E26" s="149">
        <v>0</v>
      </c>
      <c r="F26" s="150">
        <v>0</v>
      </c>
      <c r="G26" s="222"/>
      <c r="H26" s="223"/>
      <c r="I26" s="3">
        <f t="shared" ref="I26:I36" si="1">SUM(B26:F26)</f>
        <v>0</v>
      </c>
      <c r="N26" t="s">
        <v>17</v>
      </c>
      <c r="O26">
        <v>3</v>
      </c>
      <c r="P26">
        <v>0</v>
      </c>
    </row>
    <row r="27" spans="1:16" x14ac:dyDescent="0.25">
      <c r="A27" s="118" t="s">
        <v>142</v>
      </c>
      <c r="B27" s="119">
        <v>0</v>
      </c>
      <c r="C27" s="119">
        <v>0</v>
      </c>
      <c r="D27" s="119">
        <v>0</v>
      </c>
      <c r="E27" s="149">
        <v>0</v>
      </c>
      <c r="F27" s="150">
        <v>0</v>
      </c>
      <c r="G27" s="222"/>
      <c r="H27" s="223"/>
      <c r="I27" s="3">
        <f t="shared" si="1"/>
        <v>0</v>
      </c>
      <c r="N27" t="s">
        <v>15</v>
      </c>
      <c r="O27">
        <v>3</v>
      </c>
      <c r="P27">
        <v>9</v>
      </c>
    </row>
    <row r="28" spans="1:16" x14ac:dyDescent="0.25">
      <c r="A28" s="118" t="s">
        <v>185</v>
      </c>
      <c r="B28" s="119">
        <v>0</v>
      </c>
      <c r="C28" s="119">
        <v>0</v>
      </c>
      <c r="D28" s="119">
        <v>0</v>
      </c>
      <c r="E28" s="149">
        <v>0</v>
      </c>
      <c r="F28" s="150">
        <v>0</v>
      </c>
      <c r="G28" s="222"/>
      <c r="H28" s="223"/>
      <c r="I28" s="3">
        <f t="shared" si="1"/>
        <v>0</v>
      </c>
      <c r="N28" t="s">
        <v>153</v>
      </c>
      <c r="O28">
        <v>3</v>
      </c>
      <c r="P28">
        <v>0</v>
      </c>
    </row>
    <row r="29" spans="1:16" x14ac:dyDescent="0.25">
      <c r="A29" s="118" t="s">
        <v>186</v>
      </c>
      <c r="B29" s="119">
        <v>0</v>
      </c>
      <c r="C29" s="119">
        <v>0</v>
      </c>
      <c r="D29" s="119">
        <v>0</v>
      </c>
      <c r="E29" s="149">
        <v>0</v>
      </c>
      <c r="F29" s="150">
        <v>0</v>
      </c>
      <c r="G29" s="222"/>
      <c r="H29" s="223"/>
      <c r="I29" s="3">
        <f t="shared" si="1"/>
        <v>0</v>
      </c>
      <c r="N29" t="s">
        <v>154</v>
      </c>
      <c r="O29">
        <v>0</v>
      </c>
      <c r="P29">
        <v>9</v>
      </c>
    </row>
    <row r="30" spans="1:16" x14ac:dyDescent="0.25">
      <c r="A30" s="118" t="s">
        <v>187</v>
      </c>
      <c r="B30" s="119">
        <v>0</v>
      </c>
      <c r="C30" s="119">
        <v>0</v>
      </c>
      <c r="D30" s="119">
        <v>0</v>
      </c>
      <c r="E30" s="149">
        <v>0</v>
      </c>
      <c r="F30" s="150">
        <v>0</v>
      </c>
      <c r="G30" s="222"/>
      <c r="H30" s="223"/>
      <c r="I30" s="3">
        <f t="shared" si="1"/>
        <v>0</v>
      </c>
      <c r="N30" t="s">
        <v>155</v>
      </c>
      <c r="O30">
        <v>3</v>
      </c>
      <c r="P30">
        <v>9</v>
      </c>
    </row>
    <row r="31" spans="1:16" x14ac:dyDescent="0.25">
      <c r="A31" s="118" t="s">
        <v>176</v>
      </c>
      <c r="B31" s="119">
        <v>0</v>
      </c>
      <c r="C31" s="119">
        <v>0</v>
      </c>
      <c r="D31" s="119">
        <v>0</v>
      </c>
      <c r="E31" s="149">
        <v>0</v>
      </c>
      <c r="F31" s="150">
        <v>0</v>
      </c>
      <c r="G31" s="222"/>
      <c r="H31" s="223"/>
      <c r="I31" s="3">
        <f t="shared" si="1"/>
        <v>0</v>
      </c>
    </row>
    <row r="32" spans="1:16" x14ac:dyDescent="0.25">
      <c r="A32" s="118" t="s">
        <v>175</v>
      </c>
      <c r="B32" s="119">
        <v>0</v>
      </c>
      <c r="C32" s="119">
        <v>0</v>
      </c>
      <c r="D32" s="119">
        <v>0</v>
      </c>
      <c r="E32" s="149">
        <v>0</v>
      </c>
      <c r="F32" s="150">
        <v>0</v>
      </c>
      <c r="G32" s="222"/>
      <c r="H32" s="223"/>
      <c r="I32" s="3">
        <f t="shared" si="1"/>
        <v>0</v>
      </c>
      <c r="N32" t="s">
        <v>51</v>
      </c>
    </row>
    <row r="33" spans="1:14" x14ac:dyDescent="0.25">
      <c r="A33" s="118" t="s">
        <v>189</v>
      </c>
      <c r="B33" s="119">
        <v>0</v>
      </c>
      <c r="C33" s="119">
        <v>0</v>
      </c>
      <c r="D33" s="119">
        <v>0</v>
      </c>
      <c r="E33" s="149">
        <v>0</v>
      </c>
      <c r="F33" s="150">
        <v>0</v>
      </c>
      <c r="G33" s="222"/>
      <c r="H33" s="223"/>
      <c r="I33" s="3">
        <f t="shared" si="1"/>
        <v>0</v>
      </c>
      <c r="N33" t="s">
        <v>20</v>
      </c>
    </row>
    <row r="34" spans="1:14" x14ac:dyDescent="0.25">
      <c r="A34" s="118" t="s">
        <v>51</v>
      </c>
      <c r="B34" s="119">
        <v>0</v>
      </c>
      <c r="C34" s="119">
        <v>0</v>
      </c>
      <c r="D34" s="119">
        <v>0</v>
      </c>
      <c r="E34" s="149">
        <v>0</v>
      </c>
      <c r="F34" s="150">
        <v>0</v>
      </c>
      <c r="G34" s="222"/>
      <c r="H34" s="223"/>
      <c r="I34" s="3">
        <f t="shared" si="1"/>
        <v>0</v>
      </c>
      <c r="N34" t="s">
        <v>181</v>
      </c>
    </row>
    <row r="35" spans="1:14" x14ac:dyDescent="0.25">
      <c r="A35" s="118" t="s">
        <v>51</v>
      </c>
      <c r="B35" s="119">
        <v>0</v>
      </c>
      <c r="C35" s="119">
        <v>0</v>
      </c>
      <c r="D35" s="119">
        <v>0</v>
      </c>
      <c r="E35" s="149">
        <v>0</v>
      </c>
      <c r="F35" s="150">
        <v>0</v>
      </c>
      <c r="G35" s="222"/>
      <c r="H35" s="223"/>
      <c r="I35" s="3">
        <f t="shared" si="1"/>
        <v>0</v>
      </c>
      <c r="N35" t="s">
        <v>182</v>
      </c>
    </row>
    <row r="36" spans="1:14" x14ac:dyDescent="0.25">
      <c r="A36" s="118" t="s">
        <v>51</v>
      </c>
      <c r="B36" s="119">
        <v>0</v>
      </c>
      <c r="C36" s="119">
        <v>0</v>
      </c>
      <c r="D36" s="119">
        <v>0</v>
      </c>
      <c r="E36" s="149">
        <v>0</v>
      </c>
      <c r="F36" s="150">
        <v>0</v>
      </c>
      <c r="G36" s="222"/>
      <c r="H36" s="223"/>
      <c r="I36" s="3">
        <f t="shared" si="1"/>
        <v>0</v>
      </c>
      <c r="N36" t="s">
        <v>142</v>
      </c>
    </row>
    <row r="37" spans="1:14" x14ac:dyDescent="0.25">
      <c r="B37" s="109"/>
      <c r="G37" s="221"/>
      <c r="H37" s="221"/>
      <c r="N37" t="s">
        <v>185</v>
      </c>
    </row>
    <row r="38" spans="1:14" x14ac:dyDescent="0.25">
      <c r="A38" s="75" t="s">
        <v>230</v>
      </c>
      <c r="B38" s="63"/>
      <c r="C38" s="63"/>
      <c r="D38" s="63"/>
      <c r="E38" s="64"/>
      <c r="F38" s="63"/>
      <c r="G38" s="63"/>
      <c r="H38" s="64"/>
      <c r="I38" s="63"/>
      <c r="N38" t="s">
        <v>186</v>
      </c>
    </row>
    <row r="39" spans="1:14" x14ac:dyDescent="0.25">
      <c r="A39" s="1" t="s">
        <v>45</v>
      </c>
      <c r="B39" s="167">
        <v>0.56000000000000005</v>
      </c>
      <c r="E39" s="1" t="s">
        <v>240</v>
      </c>
      <c r="F39" s="178">
        <v>0</v>
      </c>
      <c r="N39" t="s">
        <v>187</v>
      </c>
    </row>
    <row r="40" spans="1:14" x14ac:dyDescent="0.25">
      <c r="A40" s="1" t="s">
        <v>46</v>
      </c>
      <c r="B40" s="77" t="s">
        <v>52</v>
      </c>
      <c r="N40" t="s">
        <v>176</v>
      </c>
    </row>
    <row r="41" spans="1:14" x14ac:dyDescent="0.25">
      <c r="A41" s="1" t="s">
        <v>48</v>
      </c>
      <c r="B41" s="77" t="s">
        <v>52</v>
      </c>
      <c r="N41" t="s">
        <v>188</v>
      </c>
    </row>
    <row r="42" spans="1:14" x14ac:dyDescent="0.25">
      <c r="A42" s="1" t="s">
        <v>49</v>
      </c>
      <c r="B42" s="77" t="s">
        <v>53</v>
      </c>
      <c r="E42" s="1" t="s">
        <v>136</v>
      </c>
      <c r="F42" s="78"/>
      <c r="H42" s="1" t="s">
        <v>137</v>
      </c>
      <c r="I42" s="78"/>
      <c r="N42" t="s">
        <v>175</v>
      </c>
    </row>
    <row r="43" spans="1:14" x14ac:dyDescent="0.25">
      <c r="A43" s="1" t="s">
        <v>50</v>
      </c>
      <c r="B43" s="77" t="s">
        <v>53</v>
      </c>
      <c r="E43" s="1" t="s">
        <v>136</v>
      </c>
      <c r="F43" s="78"/>
      <c r="H43" s="1" t="s">
        <v>137</v>
      </c>
      <c r="I43" s="78"/>
      <c r="N43" t="s">
        <v>189</v>
      </c>
    </row>
    <row r="44" spans="1:14" x14ac:dyDescent="0.25">
      <c r="A44" s="1" t="s">
        <v>138</v>
      </c>
      <c r="B44" s="77" t="s">
        <v>53</v>
      </c>
      <c r="E44" s="1" t="s">
        <v>136</v>
      </c>
      <c r="F44" s="78"/>
      <c r="H44" s="1" t="s">
        <v>137</v>
      </c>
      <c r="I44" s="78"/>
    </row>
    <row r="46" spans="1:14" ht="15" hidden="1" customHeight="1" outlineLevel="1" x14ac:dyDescent="0.25">
      <c r="A46" s="74" t="s">
        <v>47</v>
      </c>
      <c r="B46" s="49"/>
      <c r="C46" s="49"/>
      <c r="D46" s="49"/>
      <c r="E46" s="50"/>
      <c r="F46" s="49"/>
      <c r="G46" s="49"/>
      <c r="H46" s="50"/>
      <c r="I46" s="49"/>
    </row>
    <row r="47" spans="1:14" ht="15" hidden="1" customHeight="1" outlineLevel="1" x14ac:dyDescent="0.25">
      <c r="A47" s="1" t="s">
        <v>44</v>
      </c>
      <c r="B47" s="47"/>
      <c r="E47" s="1" t="s">
        <v>161</v>
      </c>
      <c r="F47" s="103"/>
    </row>
    <row r="48" spans="1:14" ht="15" hidden="1" customHeight="1" outlineLevel="1" x14ac:dyDescent="0.25">
      <c r="A48" s="1" t="s">
        <v>225</v>
      </c>
      <c r="B48" s="47"/>
      <c r="F48" s="80"/>
      <c r="I48" s="80"/>
    </row>
    <row r="49" spans="1:9" ht="15" hidden="1" customHeight="1" outlineLevel="1" x14ac:dyDescent="0.25">
      <c r="A49" s="1" t="s">
        <v>226</v>
      </c>
      <c r="B49" s="173"/>
      <c r="F49" s="79"/>
    </row>
    <row r="50" spans="1:9" ht="15" hidden="1" customHeight="1" outlineLevel="1" x14ac:dyDescent="0.25">
      <c r="F50" s="174"/>
    </row>
    <row r="51" spans="1:9" ht="15" hidden="1" customHeight="1" outlineLevel="1" x14ac:dyDescent="0.25">
      <c r="A51" s="101" t="s">
        <v>158</v>
      </c>
      <c r="B51" s="10"/>
      <c r="C51" s="10"/>
      <c r="D51" s="10"/>
      <c r="E51" s="10"/>
      <c r="F51" s="10"/>
      <c r="G51" s="10"/>
      <c r="H51" s="10"/>
      <c r="I51" s="10"/>
    </row>
    <row r="52" spans="1:9" ht="15" hidden="1" customHeight="1" outlineLevel="1" x14ac:dyDescent="0.25">
      <c r="A52" s="126" t="s">
        <v>159</v>
      </c>
      <c r="B52" s="126" t="s">
        <v>160</v>
      </c>
      <c r="C52" s="102" t="s">
        <v>156</v>
      </c>
      <c r="D52" s="102" t="s">
        <v>165</v>
      </c>
      <c r="E52" s="102" t="s">
        <v>12</v>
      </c>
      <c r="F52" s="126" t="s">
        <v>11</v>
      </c>
      <c r="G52" s="126" t="s">
        <v>162</v>
      </c>
      <c r="H52" s="126" t="s">
        <v>163</v>
      </c>
      <c r="I52" s="126" t="s">
        <v>164</v>
      </c>
    </row>
    <row r="53" spans="1:9" ht="15" hidden="1" customHeight="1" outlineLevel="1" x14ac:dyDescent="0.25">
      <c r="A53" s="117" t="s">
        <v>51</v>
      </c>
      <c r="B53" s="112"/>
      <c r="C53" s="114"/>
      <c r="D53" s="114"/>
      <c r="E53" s="115">
        <f t="shared" ref="E53:E62" si="2">IF(A53="PI, Summer",$F$2*3,IF(A53="PI, Academic",$F$2,IF(A53="Co-PI, Summer",0,IF(A53="Co-PI, Academic",0,IF(A53="Undergraduate RA",4000,IF(A53="Research Assistant",27000,IF(A53="Research Assistant, Academic",20250,IF(A53="Research Assistant, Summer",6750,IF(A53="Research Associate, Summer",0,IF(A53="Research Associaemic",0,IF(A53="Postdoctoral Associate",38496,0)))))))))))</f>
        <v>0</v>
      </c>
      <c r="F53" s="116"/>
      <c r="G53" s="113"/>
      <c r="H53" s="113"/>
      <c r="I53">
        <f t="shared" ref="I53:I62" si="3">G53+H53</f>
        <v>0</v>
      </c>
    </row>
    <row r="54" spans="1:9" ht="15" hidden="1" customHeight="1" outlineLevel="1" x14ac:dyDescent="0.25">
      <c r="A54" s="117" t="s">
        <v>51</v>
      </c>
      <c r="B54" s="112"/>
      <c r="C54" s="114"/>
      <c r="D54" s="114"/>
      <c r="E54" s="115">
        <f t="shared" si="2"/>
        <v>0</v>
      </c>
      <c r="F54" s="116"/>
      <c r="G54" s="113"/>
      <c r="H54" s="113"/>
      <c r="I54">
        <f t="shared" si="3"/>
        <v>0</v>
      </c>
    </row>
    <row r="55" spans="1:9" ht="15" hidden="1" customHeight="1" outlineLevel="1" x14ac:dyDescent="0.25">
      <c r="A55" s="117" t="s">
        <v>51</v>
      </c>
      <c r="B55" s="112"/>
      <c r="C55" s="114"/>
      <c r="D55" s="114"/>
      <c r="E55" s="115">
        <f t="shared" si="2"/>
        <v>0</v>
      </c>
      <c r="F55" s="116"/>
      <c r="G55" s="113"/>
      <c r="H55" s="113"/>
      <c r="I55">
        <f t="shared" si="3"/>
        <v>0</v>
      </c>
    </row>
    <row r="56" spans="1:9" ht="15" hidden="1" customHeight="1" outlineLevel="1" x14ac:dyDescent="0.25">
      <c r="A56" s="117" t="s">
        <v>51</v>
      </c>
      <c r="B56" s="112"/>
      <c r="C56" s="114"/>
      <c r="D56" s="114"/>
      <c r="E56" s="115">
        <f t="shared" si="2"/>
        <v>0</v>
      </c>
      <c r="F56" s="116"/>
      <c r="G56" s="113"/>
      <c r="H56" s="113"/>
      <c r="I56">
        <f t="shared" si="3"/>
        <v>0</v>
      </c>
    </row>
    <row r="57" spans="1:9" ht="15" hidden="1" customHeight="1" outlineLevel="1" x14ac:dyDescent="0.25">
      <c r="A57" s="117" t="s">
        <v>51</v>
      </c>
      <c r="B57" s="112"/>
      <c r="C57" s="114"/>
      <c r="D57" s="114"/>
      <c r="E57" s="115">
        <f t="shared" si="2"/>
        <v>0</v>
      </c>
      <c r="F57" s="116"/>
      <c r="G57" s="113"/>
      <c r="H57" s="113"/>
      <c r="I57">
        <f t="shared" si="3"/>
        <v>0</v>
      </c>
    </row>
    <row r="58" spans="1:9" ht="15" hidden="1" customHeight="1" outlineLevel="1" x14ac:dyDescent="0.25">
      <c r="A58" s="117" t="s">
        <v>51</v>
      </c>
      <c r="B58" s="112"/>
      <c r="C58" s="114"/>
      <c r="D58" s="114"/>
      <c r="E58" s="115">
        <f t="shared" si="2"/>
        <v>0</v>
      </c>
      <c r="F58" s="116"/>
      <c r="G58" s="113"/>
      <c r="H58" s="113"/>
      <c r="I58">
        <f t="shared" si="3"/>
        <v>0</v>
      </c>
    </row>
    <row r="59" spans="1:9" ht="15" hidden="1" customHeight="1" outlineLevel="1" x14ac:dyDescent="0.25">
      <c r="A59" s="117" t="s">
        <v>51</v>
      </c>
      <c r="B59" s="113"/>
      <c r="C59" s="114"/>
      <c r="D59" s="114"/>
      <c r="E59" s="115">
        <f t="shared" si="2"/>
        <v>0</v>
      </c>
      <c r="F59" s="116"/>
      <c r="G59" s="113"/>
      <c r="H59" s="113"/>
      <c r="I59">
        <f t="shared" si="3"/>
        <v>0</v>
      </c>
    </row>
    <row r="60" spans="1:9" ht="15" hidden="1" customHeight="1" outlineLevel="1" x14ac:dyDescent="0.25">
      <c r="A60" s="117" t="s">
        <v>51</v>
      </c>
      <c r="B60" s="113"/>
      <c r="C60" s="114"/>
      <c r="D60" s="114"/>
      <c r="E60" s="115">
        <f t="shared" si="2"/>
        <v>0</v>
      </c>
      <c r="F60" s="116"/>
      <c r="G60" s="113"/>
      <c r="H60" s="113"/>
      <c r="I60">
        <f t="shared" si="3"/>
        <v>0</v>
      </c>
    </row>
    <row r="61" spans="1:9" ht="15" hidden="1" customHeight="1" outlineLevel="1" x14ac:dyDescent="0.25">
      <c r="A61" s="117" t="s">
        <v>51</v>
      </c>
      <c r="B61" s="113"/>
      <c r="C61" s="114"/>
      <c r="D61" s="114"/>
      <c r="E61" s="115">
        <f t="shared" si="2"/>
        <v>0</v>
      </c>
      <c r="F61" s="116"/>
      <c r="G61" s="113"/>
      <c r="H61" s="113"/>
      <c r="I61">
        <f t="shared" si="3"/>
        <v>0</v>
      </c>
    </row>
    <row r="62" spans="1:9" ht="15" hidden="1" customHeight="1" outlineLevel="1" x14ac:dyDescent="0.25">
      <c r="A62" s="117" t="s">
        <v>51</v>
      </c>
      <c r="B62" s="113"/>
      <c r="C62" s="114"/>
      <c r="D62" s="114"/>
      <c r="E62" s="115">
        <f t="shared" si="2"/>
        <v>0</v>
      </c>
      <c r="F62" s="116"/>
      <c r="G62" s="113"/>
      <c r="H62" s="113"/>
      <c r="I62">
        <f t="shared" si="3"/>
        <v>0</v>
      </c>
    </row>
    <row r="63" spans="1:9" ht="15" hidden="1" customHeight="1" outlineLevel="1" x14ac:dyDescent="0.25">
      <c r="B63" s="109"/>
    </row>
    <row r="64" spans="1:9" ht="15" hidden="1" customHeight="1" outlineLevel="1" x14ac:dyDescent="0.25">
      <c r="A64" s="76" t="s">
        <v>179</v>
      </c>
      <c r="B64" s="34"/>
      <c r="C64" s="34"/>
      <c r="D64" s="34"/>
      <c r="E64" s="34"/>
      <c r="F64" s="34"/>
      <c r="G64" s="34"/>
      <c r="H64" s="34"/>
      <c r="I64" s="34"/>
    </row>
    <row r="65" spans="1:9" ht="15" hidden="1" customHeight="1" outlineLevel="1" x14ac:dyDescent="0.25">
      <c r="A65" s="120" t="s">
        <v>180</v>
      </c>
      <c r="B65" s="120" t="s">
        <v>3</v>
      </c>
      <c r="C65" s="121" t="s">
        <v>4</v>
      </c>
      <c r="D65" s="121" t="s">
        <v>147</v>
      </c>
      <c r="E65" s="121" t="s">
        <v>151</v>
      </c>
      <c r="F65" s="120" t="s">
        <v>152</v>
      </c>
      <c r="G65" s="120" t="s">
        <v>183</v>
      </c>
      <c r="H65" s="120"/>
      <c r="I65" s="120" t="s">
        <v>164</v>
      </c>
    </row>
    <row r="66" spans="1:9" ht="15" hidden="1" customHeight="1" outlineLevel="1" x14ac:dyDescent="0.25">
      <c r="A66" s="118" t="s">
        <v>51</v>
      </c>
      <c r="B66" s="119">
        <v>0</v>
      </c>
      <c r="C66" s="119">
        <v>0</v>
      </c>
      <c r="D66" s="119">
        <v>0</v>
      </c>
      <c r="E66" s="149">
        <v>0</v>
      </c>
      <c r="F66" s="150">
        <v>0</v>
      </c>
      <c r="G66" s="222"/>
      <c r="H66" s="223"/>
      <c r="I66" s="3">
        <f t="shared" ref="I66" si="4">SUM(B66:F66)</f>
        <v>0</v>
      </c>
    </row>
    <row r="67" spans="1:9" ht="15" hidden="1" customHeight="1" outlineLevel="1" x14ac:dyDescent="0.25">
      <c r="A67" s="118" t="s">
        <v>51</v>
      </c>
      <c r="B67" s="119">
        <v>0</v>
      </c>
      <c r="C67" s="119">
        <v>0</v>
      </c>
      <c r="D67" s="119">
        <v>0</v>
      </c>
      <c r="E67" s="149">
        <v>0</v>
      </c>
      <c r="F67" s="150">
        <v>0</v>
      </c>
      <c r="G67" s="222"/>
      <c r="H67" s="223"/>
      <c r="I67" s="3">
        <f t="shared" ref="I67:I77" si="5">SUM(B67:F67)</f>
        <v>0</v>
      </c>
    </row>
    <row r="68" spans="1:9" ht="15" hidden="1" customHeight="1" outlineLevel="1" x14ac:dyDescent="0.25">
      <c r="A68" s="118" t="s">
        <v>51</v>
      </c>
      <c r="B68" s="119">
        <v>0</v>
      </c>
      <c r="C68" s="119">
        <v>0</v>
      </c>
      <c r="D68" s="119">
        <v>0</v>
      </c>
      <c r="E68" s="149">
        <v>0</v>
      </c>
      <c r="F68" s="150">
        <v>0</v>
      </c>
      <c r="G68" s="222"/>
      <c r="H68" s="223"/>
      <c r="I68" s="3">
        <f t="shared" si="5"/>
        <v>0</v>
      </c>
    </row>
    <row r="69" spans="1:9" ht="15" hidden="1" customHeight="1" outlineLevel="1" x14ac:dyDescent="0.25">
      <c r="A69" s="118" t="s">
        <v>51</v>
      </c>
      <c r="B69" s="119">
        <v>0</v>
      </c>
      <c r="C69" s="119">
        <v>0</v>
      </c>
      <c r="D69" s="119">
        <v>0</v>
      </c>
      <c r="E69" s="149">
        <v>0</v>
      </c>
      <c r="F69" s="150">
        <v>0</v>
      </c>
      <c r="G69" s="222"/>
      <c r="H69" s="223"/>
      <c r="I69" s="3">
        <f t="shared" si="5"/>
        <v>0</v>
      </c>
    </row>
    <row r="70" spans="1:9" ht="15" hidden="1" customHeight="1" outlineLevel="1" x14ac:dyDescent="0.25">
      <c r="A70" s="118" t="s">
        <v>51</v>
      </c>
      <c r="B70" s="119">
        <v>0</v>
      </c>
      <c r="C70" s="119">
        <v>0</v>
      </c>
      <c r="D70" s="119">
        <v>0</v>
      </c>
      <c r="E70" s="149">
        <v>0</v>
      </c>
      <c r="F70" s="150">
        <v>0</v>
      </c>
      <c r="G70" s="222"/>
      <c r="H70" s="223"/>
      <c r="I70" s="3">
        <f t="shared" si="5"/>
        <v>0</v>
      </c>
    </row>
    <row r="71" spans="1:9" ht="15" hidden="1" customHeight="1" outlineLevel="1" x14ac:dyDescent="0.25">
      <c r="A71" s="118" t="s">
        <v>51</v>
      </c>
      <c r="B71" s="119">
        <v>0</v>
      </c>
      <c r="C71" s="119">
        <v>0</v>
      </c>
      <c r="D71" s="119">
        <v>0</v>
      </c>
      <c r="E71" s="149">
        <v>0</v>
      </c>
      <c r="F71" s="150">
        <v>0</v>
      </c>
      <c r="G71" s="222"/>
      <c r="H71" s="223"/>
      <c r="I71" s="3">
        <f t="shared" si="5"/>
        <v>0</v>
      </c>
    </row>
    <row r="72" spans="1:9" ht="15" hidden="1" customHeight="1" outlineLevel="1" x14ac:dyDescent="0.25">
      <c r="A72" s="118" t="s">
        <v>51</v>
      </c>
      <c r="B72" s="119">
        <v>0</v>
      </c>
      <c r="C72" s="119">
        <v>0</v>
      </c>
      <c r="D72" s="119">
        <v>0</v>
      </c>
      <c r="E72" s="149">
        <v>0</v>
      </c>
      <c r="F72" s="150">
        <v>0</v>
      </c>
      <c r="G72" s="222"/>
      <c r="H72" s="223"/>
      <c r="I72" s="3">
        <f t="shared" si="5"/>
        <v>0</v>
      </c>
    </row>
    <row r="73" spans="1:9" ht="15" hidden="1" customHeight="1" outlineLevel="1" x14ac:dyDescent="0.25">
      <c r="A73" s="118" t="s">
        <v>51</v>
      </c>
      <c r="B73" s="119">
        <v>0</v>
      </c>
      <c r="C73" s="119">
        <v>0</v>
      </c>
      <c r="D73" s="119">
        <v>0</v>
      </c>
      <c r="E73" s="149">
        <v>0</v>
      </c>
      <c r="F73" s="150">
        <v>0</v>
      </c>
      <c r="G73" s="222"/>
      <c r="H73" s="223"/>
      <c r="I73" s="3">
        <f t="shared" si="5"/>
        <v>0</v>
      </c>
    </row>
    <row r="74" spans="1:9" ht="15" hidden="1" customHeight="1" outlineLevel="1" x14ac:dyDescent="0.25">
      <c r="A74" s="118" t="s">
        <v>51</v>
      </c>
      <c r="B74" s="119">
        <v>0</v>
      </c>
      <c r="C74" s="119">
        <v>0</v>
      </c>
      <c r="D74" s="119">
        <v>0</v>
      </c>
      <c r="E74" s="149">
        <v>0</v>
      </c>
      <c r="F74" s="150">
        <v>0</v>
      </c>
      <c r="G74" s="222"/>
      <c r="H74" s="223"/>
      <c r="I74" s="3">
        <f t="shared" si="5"/>
        <v>0</v>
      </c>
    </row>
    <row r="75" spans="1:9" ht="15" hidden="1" customHeight="1" outlineLevel="1" x14ac:dyDescent="0.25">
      <c r="A75" s="118" t="s">
        <v>51</v>
      </c>
      <c r="B75" s="119">
        <v>0</v>
      </c>
      <c r="C75" s="119">
        <v>0</v>
      </c>
      <c r="D75" s="119">
        <v>0</v>
      </c>
      <c r="E75" s="149">
        <v>0</v>
      </c>
      <c r="F75" s="150">
        <v>0</v>
      </c>
      <c r="G75" s="222"/>
      <c r="H75" s="223"/>
      <c r="I75" s="3">
        <f t="shared" si="5"/>
        <v>0</v>
      </c>
    </row>
    <row r="76" spans="1:9" ht="15" hidden="1" customHeight="1" outlineLevel="1" x14ac:dyDescent="0.25">
      <c r="A76" s="118" t="s">
        <v>51</v>
      </c>
      <c r="B76" s="119">
        <v>0</v>
      </c>
      <c r="C76" s="119">
        <v>0</v>
      </c>
      <c r="D76" s="119">
        <v>0</v>
      </c>
      <c r="E76" s="149">
        <v>0</v>
      </c>
      <c r="F76" s="150">
        <v>0</v>
      </c>
      <c r="G76" s="222"/>
      <c r="H76" s="223"/>
      <c r="I76" s="3">
        <f t="shared" si="5"/>
        <v>0</v>
      </c>
    </row>
    <row r="77" spans="1:9" ht="15" hidden="1" customHeight="1" outlineLevel="1" x14ac:dyDescent="0.25">
      <c r="A77" s="118" t="s">
        <v>51</v>
      </c>
      <c r="B77" s="119">
        <v>0</v>
      </c>
      <c r="C77" s="119">
        <v>0</v>
      </c>
      <c r="D77" s="119">
        <v>0</v>
      </c>
      <c r="E77" s="149">
        <v>0</v>
      </c>
      <c r="F77" s="150">
        <v>0</v>
      </c>
      <c r="G77" s="222"/>
      <c r="H77" s="223"/>
      <c r="I77" s="3">
        <f t="shared" si="5"/>
        <v>0</v>
      </c>
    </row>
    <row r="78" spans="1:9" ht="15" hidden="1" customHeight="1" outlineLevel="1" x14ac:dyDescent="0.25">
      <c r="B78" s="109"/>
      <c r="G78" s="221"/>
      <c r="H78" s="221"/>
    </row>
    <row r="79" spans="1:9" ht="15" hidden="1" customHeight="1" outlineLevel="1" x14ac:dyDescent="0.25">
      <c r="A79" s="75" t="s">
        <v>55</v>
      </c>
      <c r="B79" s="63"/>
      <c r="C79" s="63"/>
      <c r="D79" s="63"/>
      <c r="E79" s="64"/>
      <c r="F79" s="63"/>
      <c r="G79" s="63"/>
      <c r="H79" s="64"/>
      <c r="I79" s="63"/>
    </row>
    <row r="80" spans="1:9" ht="15" hidden="1" customHeight="1" outlineLevel="1" x14ac:dyDescent="0.25">
      <c r="A80" s="1" t="s">
        <v>45</v>
      </c>
      <c r="B80" s="167">
        <v>0.53500000000000003</v>
      </c>
    </row>
    <row r="81" spans="1:9" ht="15" hidden="1" customHeight="1" outlineLevel="1" x14ac:dyDescent="0.25">
      <c r="A81" s="1" t="s">
        <v>227</v>
      </c>
      <c r="B81" s="78"/>
      <c r="E81" s="1" t="s">
        <v>228</v>
      </c>
      <c r="F81" s="78"/>
      <c r="H81" s="1" t="s">
        <v>229</v>
      </c>
      <c r="I81" s="78"/>
    </row>
    <row r="82" spans="1:9" ht="15" hidden="1" customHeight="1" outlineLevel="1" x14ac:dyDescent="0.25">
      <c r="A82" s="1" t="s">
        <v>49</v>
      </c>
      <c r="B82" s="77" t="s">
        <v>53</v>
      </c>
      <c r="E82" s="1" t="s">
        <v>136</v>
      </c>
      <c r="F82" s="78"/>
      <c r="H82" s="1" t="s">
        <v>137</v>
      </c>
      <c r="I82" s="78"/>
    </row>
    <row r="83" spans="1:9" ht="15" hidden="1" customHeight="1" outlineLevel="1" x14ac:dyDescent="0.25">
      <c r="A83" s="1" t="s">
        <v>50</v>
      </c>
      <c r="B83" s="77" t="s">
        <v>53</v>
      </c>
      <c r="E83" s="1" t="s">
        <v>136</v>
      </c>
      <c r="F83" s="78"/>
      <c r="H83" s="1" t="s">
        <v>137</v>
      </c>
      <c r="I83" s="78"/>
    </row>
    <row r="84" spans="1:9" ht="15" hidden="1" customHeight="1" outlineLevel="1" x14ac:dyDescent="0.25">
      <c r="A84" s="1" t="s">
        <v>138</v>
      </c>
      <c r="B84" s="77" t="s">
        <v>53</v>
      </c>
      <c r="E84" s="1" t="s">
        <v>136</v>
      </c>
      <c r="F84" s="78"/>
      <c r="H84" s="1" t="s">
        <v>137</v>
      </c>
      <c r="I84" s="78"/>
    </row>
    <row r="85" spans="1:9" collapsed="1" x14ac:dyDescent="0.25"/>
    <row r="86" spans="1:9" ht="15" hidden="1" customHeight="1" outlineLevel="1" x14ac:dyDescent="0.25">
      <c r="A86" s="74" t="s">
        <v>47</v>
      </c>
      <c r="B86" s="49"/>
      <c r="C86" s="49"/>
      <c r="D86" s="49"/>
      <c r="E86" s="50"/>
      <c r="F86" s="49"/>
      <c r="G86" s="49"/>
      <c r="H86" s="50"/>
      <c r="I86" s="49"/>
    </row>
    <row r="87" spans="1:9" ht="15" hidden="1" customHeight="1" outlineLevel="1" x14ac:dyDescent="0.25">
      <c r="A87" s="1" t="s">
        <v>44</v>
      </c>
      <c r="B87" s="47"/>
      <c r="E87" s="1" t="s">
        <v>161</v>
      </c>
      <c r="F87" s="103"/>
    </row>
    <row r="88" spans="1:9" ht="15" hidden="1" customHeight="1" outlineLevel="1" x14ac:dyDescent="0.25">
      <c r="A88" s="1" t="s">
        <v>225</v>
      </c>
      <c r="B88" s="47"/>
      <c r="F88" s="80"/>
      <c r="I88" s="80"/>
    </row>
    <row r="89" spans="1:9" ht="15" hidden="1" customHeight="1" outlineLevel="1" x14ac:dyDescent="0.25">
      <c r="A89" s="1" t="s">
        <v>226</v>
      </c>
      <c r="B89" s="173"/>
      <c r="F89" s="79"/>
    </row>
    <row r="90" spans="1:9" ht="15" hidden="1" customHeight="1" outlineLevel="1" x14ac:dyDescent="0.25">
      <c r="F90" s="174"/>
    </row>
    <row r="91" spans="1:9" ht="15" hidden="1" customHeight="1" outlineLevel="1" x14ac:dyDescent="0.25">
      <c r="A91" s="101" t="s">
        <v>158</v>
      </c>
      <c r="B91" s="10"/>
      <c r="C91" s="10"/>
      <c r="D91" s="10"/>
      <c r="E91" s="10"/>
      <c r="F91" s="10"/>
      <c r="G91" s="10"/>
      <c r="H91" s="10"/>
      <c r="I91" s="10"/>
    </row>
    <row r="92" spans="1:9" ht="15" hidden="1" customHeight="1" outlineLevel="1" x14ac:dyDescent="0.25">
      <c r="A92" s="126" t="s">
        <v>159</v>
      </c>
      <c r="B92" s="126" t="s">
        <v>160</v>
      </c>
      <c r="C92" s="102" t="s">
        <v>156</v>
      </c>
      <c r="D92" s="102" t="s">
        <v>165</v>
      </c>
      <c r="E92" s="102" t="s">
        <v>12</v>
      </c>
      <c r="F92" s="126" t="s">
        <v>11</v>
      </c>
      <c r="G92" s="126" t="s">
        <v>162</v>
      </c>
      <c r="H92" s="126" t="s">
        <v>163</v>
      </c>
      <c r="I92" s="126" t="s">
        <v>164</v>
      </c>
    </row>
    <row r="93" spans="1:9" ht="15" hidden="1" customHeight="1" outlineLevel="1" x14ac:dyDescent="0.25">
      <c r="A93" s="117" t="s">
        <v>51</v>
      </c>
      <c r="B93" s="112"/>
      <c r="C93" s="114"/>
      <c r="D93" s="175"/>
      <c r="E93" s="177">
        <f t="shared" ref="E93:E102" si="6">IF(A93="PI, Summer",$F$2*3,IF(A93="PI, Academic",$F$2,IF(A93="Co-PI, Summer",0,IF(A93="Co-PI, Academic",0,IF(A93="Undergraduate RA",4000,IF(A93="Research Assistant",27000,IF(A93="Research Assistant, Academic",20250,IF(A93="Research Assistant, Summer",6750,IF(A93="Research Associate, Summer",0,IF(A93="Research Associaemic",0,IF(A93="Postdoctoral Associate",38496,0)))))))))))</f>
        <v>0</v>
      </c>
      <c r="F93" s="176"/>
      <c r="G93" s="113"/>
      <c r="H93" s="113"/>
      <c r="I93">
        <f t="shared" ref="I93:I102" si="7">G93+H93</f>
        <v>0</v>
      </c>
    </row>
    <row r="94" spans="1:9" ht="15" hidden="1" customHeight="1" outlineLevel="1" x14ac:dyDescent="0.25">
      <c r="A94" s="117" t="s">
        <v>51</v>
      </c>
      <c r="B94" s="112"/>
      <c r="C94" s="114"/>
      <c r="D94" s="175"/>
      <c r="E94" s="177">
        <f t="shared" si="6"/>
        <v>0</v>
      </c>
      <c r="F94" s="176"/>
      <c r="G94" s="113"/>
      <c r="H94" s="113"/>
      <c r="I94">
        <f t="shared" si="7"/>
        <v>0</v>
      </c>
    </row>
    <row r="95" spans="1:9" ht="15" hidden="1" customHeight="1" outlineLevel="1" x14ac:dyDescent="0.25">
      <c r="A95" s="117" t="s">
        <v>51</v>
      </c>
      <c r="B95" s="112"/>
      <c r="C95" s="114"/>
      <c r="D95" s="175"/>
      <c r="E95" s="177">
        <f t="shared" si="6"/>
        <v>0</v>
      </c>
      <c r="F95" s="176"/>
      <c r="G95" s="113"/>
      <c r="H95" s="113"/>
      <c r="I95">
        <f t="shared" si="7"/>
        <v>0</v>
      </c>
    </row>
    <row r="96" spans="1:9" ht="15" hidden="1" customHeight="1" outlineLevel="1" x14ac:dyDescent="0.25">
      <c r="A96" s="117" t="s">
        <v>51</v>
      </c>
      <c r="B96" s="112"/>
      <c r="C96" s="114"/>
      <c r="D96" s="175"/>
      <c r="E96" s="177">
        <f t="shared" si="6"/>
        <v>0</v>
      </c>
      <c r="F96" s="176"/>
      <c r="G96" s="113"/>
      <c r="H96" s="113"/>
      <c r="I96">
        <f t="shared" si="7"/>
        <v>0</v>
      </c>
    </row>
    <row r="97" spans="1:9" ht="15" hidden="1" customHeight="1" outlineLevel="1" x14ac:dyDescent="0.25">
      <c r="A97" s="117" t="s">
        <v>51</v>
      </c>
      <c r="B97" s="112"/>
      <c r="C97" s="114"/>
      <c r="D97" s="175"/>
      <c r="E97" s="177">
        <f t="shared" si="6"/>
        <v>0</v>
      </c>
      <c r="F97" s="176"/>
      <c r="G97" s="113"/>
      <c r="H97" s="113"/>
      <c r="I97">
        <f t="shared" si="7"/>
        <v>0</v>
      </c>
    </row>
    <row r="98" spans="1:9" ht="15" hidden="1" customHeight="1" outlineLevel="1" x14ac:dyDescent="0.25">
      <c r="A98" s="117" t="s">
        <v>51</v>
      </c>
      <c r="B98" s="112"/>
      <c r="C98" s="114"/>
      <c r="D98" s="175"/>
      <c r="E98" s="177">
        <f t="shared" si="6"/>
        <v>0</v>
      </c>
      <c r="F98" s="176"/>
      <c r="G98" s="113"/>
      <c r="H98" s="113"/>
      <c r="I98">
        <f t="shared" si="7"/>
        <v>0</v>
      </c>
    </row>
    <row r="99" spans="1:9" ht="15" hidden="1" customHeight="1" outlineLevel="1" x14ac:dyDescent="0.25">
      <c r="A99" s="117" t="s">
        <v>51</v>
      </c>
      <c r="B99" s="113"/>
      <c r="C99" s="114"/>
      <c r="D99" s="175"/>
      <c r="E99" s="177">
        <f t="shared" si="6"/>
        <v>0</v>
      </c>
      <c r="F99" s="176"/>
      <c r="G99" s="113"/>
      <c r="H99" s="113"/>
      <c r="I99">
        <f t="shared" si="7"/>
        <v>0</v>
      </c>
    </row>
    <row r="100" spans="1:9" ht="15" hidden="1" customHeight="1" outlineLevel="1" x14ac:dyDescent="0.25">
      <c r="A100" s="117" t="s">
        <v>51</v>
      </c>
      <c r="B100" s="113"/>
      <c r="C100" s="114"/>
      <c r="D100" s="175"/>
      <c r="E100" s="177">
        <f t="shared" si="6"/>
        <v>0</v>
      </c>
      <c r="F100" s="176"/>
      <c r="G100" s="113"/>
      <c r="H100" s="113"/>
      <c r="I100">
        <f t="shared" si="7"/>
        <v>0</v>
      </c>
    </row>
    <row r="101" spans="1:9" ht="15" hidden="1" customHeight="1" outlineLevel="1" x14ac:dyDescent="0.25">
      <c r="A101" s="117" t="s">
        <v>51</v>
      </c>
      <c r="B101" s="113"/>
      <c r="C101" s="114"/>
      <c r="D101" s="175"/>
      <c r="E101" s="177">
        <f t="shared" si="6"/>
        <v>0</v>
      </c>
      <c r="F101" s="176"/>
      <c r="G101" s="113"/>
      <c r="H101" s="113"/>
      <c r="I101">
        <f t="shared" si="7"/>
        <v>0</v>
      </c>
    </row>
    <row r="102" spans="1:9" ht="15" hidden="1" customHeight="1" outlineLevel="1" x14ac:dyDescent="0.25">
      <c r="A102" s="117" t="s">
        <v>51</v>
      </c>
      <c r="B102" s="113"/>
      <c r="C102" s="114"/>
      <c r="D102" s="175"/>
      <c r="E102" s="177">
        <f t="shared" si="6"/>
        <v>0</v>
      </c>
      <c r="F102" s="176"/>
      <c r="G102" s="113"/>
      <c r="H102" s="113"/>
      <c r="I102">
        <f t="shared" si="7"/>
        <v>0</v>
      </c>
    </row>
    <row r="103" spans="1:9" ht="15" hidden="1" customHeight="1" outlineLevel="1" x14ac:dyDescent="0.25">
      <c r="B103" s="109"/>
    </row>
    <row r="104" spans="1:9" ht="15" hidden="1" customHeight="1" outlineLevel="1" x14ac:dyDescent="0.25">
      <c r="A104" s="76" t="s">
        <v>179</v>
      </c>
      <c r="B104" s="34"/>
      <c r="C104" s="34"/>
      <c r="D104" s="34"/>
      <c r="E104" s="34"/>
      <c r="F104" s="34"/>
      <c r="G104" s="34"/>
      <c r="H104" s="34"/>
      <c r="I104" s="34"/>
    </row>
    <row r="105" spans="1:9" ht="15" hidden="1" customHeight="1" outlineLevel="1" x14ac:dyDescent="0.25">
      <c r="A105" s="120" t="s">
        <v>180</v>
      </c>
      <c r="B105" s="120" t="s">
        <v>3</v>
      </c>
      <c r="C105" s="121" t="s">
        <v>4</v>
      </c>
      <c r="D105" s="121" t="s">
        <v>147</v>
      </c>
      <c r="E105" s="121" t="s">
        <v>151</v>
      </c>
      <c r="F105" s="120" t="s">
        <v>152</v>
      </c>
      <c r="G105" s="120" t="s">
        <v>183</v>
      </c>
      <c r="H105" s="120"/>
      <c r="I105" s="120" t="s">
        <v>164</v>
      </c>
    </row>
    <row r="106" spans="1:9" ht="15" hidden="1" customHeight="1" outlineLevel="1" x14ac:dyDescent="0.25">
      <c r="A106" s="118" t="s">
        <v>51</v>
      </c>
      <c r="B106" s="119">
        <v>0</v>
      </c>
      <c r="C106" s="119">
        <v>0</v>
      </c>
      <c r="D106" s="119">
        <v>0</v>
      </c>
      <c r="E106" s="150">
        <v>0</v>
      </c>
      <c r="F106" s="150">
        <v>0</v>
      </c>
      <c r="G106" s="222"/>
      <c r="H106" s="223"/>
      <c r="I106" s="3">
        <f t="shared" ref="I106:I117" si="8">SUM(B106:F106)</f>
        <v>0</v>
      </c>
    </row>
    <row r="107" spans="1:9" ht="15" hidden="1" customHeight="1" outlineLevel="1" x14ac:dyDescent="0.25">
      <c r="A107" s="118" t="s">
        <v>51</v>
      </c>
      <c r="B107" s="119">
        <v>0</v>
      </c>
      <c r="C107" s="119">
        <v>0</v>
      </c>
      <c r="D107" s="119">
        <v>0</v>
      </c>
      <c r="E107" s="150">
        <v>0</v>
      </c>
      <c r="F107" s="150">
        <v>0</v>
      </c>
      <c r="G107" s="222"/>
      <c r="H107" s="223"/>
      <c r="I107" s="3">
        <f t="shared" si="8"/>
        <v>0</v>
      </c>
    </row>
    <row r="108" spans="1:9" ht="15" hidden="1" customHeight="1" outlineLevel="1" x14ac:dyDescent="0.25">
      <c r="A108" s="118" t="s">
        <v>51</v>
      </c>
      <c r="B108" s="119">
        <v>0</v>
      </c>
      <c r="C108" s="119">
        <v>0</v>
      </c>
      <c r="D108" s="119">
        <v>0</v>
      </c>
      <c r="E108" s="150">
        <v>0</v>
      </c>
      <c r="F108" s="150">
        <v>0</v>
      </c>
      <c r="G108" s="222"/>
      <c r="H108" s="223"/>
      <c r="I108" s="3">
        <f t="shared" si="8"/>
        <v>0</v>
      </c>
    </row>
    <row r="109" spans="1:9" ht="15" hidden="1" customHeight="1" outlineLevel="1" x14ac:dyDescent="0.25">
      <c r="A109" s="118" t="s">
        <v>51</v>
      </c>
      <c r="B109" s="119">
        <v>0</v>
      </c>
      <c r="C109" s="119">
        <v>0</v>
      </c>
      <c r="D109" s="119">
        <v>0</v>
      </c>
      <c r="E109" s="150">
        <v>0</v>
      </c>
      <c r="F109" s="150">
        <v>0</v>
      </c>
      <c r="G109" s="222"/>
      <c r="H109" s="223"/>
      <c r="I109" s="3">
        <f t="shared" si="8"/>
        <v>0</v>
      </c>
    </row>
    <row r="110" spans="1:9" ht="15" hidden="1" customHeight="1" outlineLevel="1" x14ac:dyDescent="0.25">
      <c r="A110" s="118" t="s">
        <v>51</v>
      </c>
      <c r="B110" s="119">
        <v>0</v>
      </c>
      <c r="C110" s="119">
        <v>0</v>
      </c>
      <c r="D110" s="119">
        <v>0</v>
      </c>
      <c r="E110" s="150">
        <v>0</v>
      </c>
      <c r="F110" s="150">
        <v>0</v>
      </c>
      <c r="G110" s="222"/>
      <c r="H110" s="223"/>
      <c r="I110" s="3">
        <f t="shared" si="8"/>
        <v>0</v>
      </c>
    </row>
    <row r="111" spans="1:9" ht="15" hidden="1" customHeight="1" outlineLevel="1" x14ac:dyDescent="0.25">
      <c r="A111" s="118" t="s">
        <v>51</v>
      </c>
      <c r="B111" s="119">
        <v>0</v>
      </c>
      <c r="C111" s="119">
        <v>0</v>
      </c>
      <c r="D111" s="119">
        <v>0</v>
      </c>
      <c r="E111" s="150">
        <v>0</v>
      </c>
      <c r="F111" s="150">
        <v>0</v>
      </c>
      <c r="G111" s="222"/>
      <c r="H111" s="223"/>
      <c r="I111" s="3">
        <f t="shared" si="8"/>
        <v>0</v>
      </c>
    </row>
    <row r="112" spans="1:9" ht="15" hidden="1" customHeight="1" outlineLevel="1" x14ac:dyDescent="0.25">
      <c r="A112" s="118" t="s">
        <v>51</v>
      </c>
      <c r="B112" s="119">
        <v>0</v>
      </c>
      <c r="C112" s="119">
        <v>0</v>
      </c>
      <c r="D112" s="119">
        <v>0</v>
      </c>
      <c r="E112" s="150">
        <v>0</v>
      </c>
      <c r="F112" s="150">
        <v>0</v>
      </c>
      <c r="G112" s="222"/>
      <c r="H112" s="223"/>
      <c r="I112" s="3">
        <f t="shared" si="8"/>
        <v>0</v>
      </c>
    </row>
    <row r="113" spans="1:9" ht="15" hidden="1" customHeight="1" outlineLevel="1" x14ac:dyDescent="0.25">
      <c r="A113" s="118" t="s">
        <v>51</v>
      </c>
      <c r="B113" s="119">
        <v>0</v>
      </c>
      <c r="C113" s="119">
        <v>0</v>
      </c>
      <c r="D113" s="119">
        <v>0</v>
      </c>
      <c r="E113" s="150">
        <v>0</v>
      </c>
      <c r="F113" s="150">
        <v>0</v>
      </c>
      <c r="G113" s="222"/>
      <c r="H113" s="223"/>
      <c r="I113" s="3">
        <f t="shared" si="8"/>
        <v>0</v>
      </c>
    </row>
    <row r="114" spans="1:9" ht="15" hidden="1" customHeight="1" outlineLevel="1" x14ac:dyDescent="0.25">
      <c r="A114" s="118" t="s">
        <v>51</v>
      </c>
      <c r="B114" s="119">
        <v>0</v>
      </c>
      <c r="C114" s="119">
        <v>0</v>
      </c>
      <c r="D114" s="119">
        <v>0</v>
      </c>
      <c r="E114" s="150">
        <v>0</v>
      </c>
      <c r="F114" s="150">
        <v>0</v>
      </c>
      <c r="G114" s="222"/>
      <c r="H114" s="223"/>
      <c r="I114" s="3">
        <f t="shared" si="8"/>
        <v>0</v>
      </c>
    </row>
    <row r="115" spans="1:9" ht="15" hidden="1" customHeight="1" outlineLevel="1" x14ac:dyDescent="0.25">
      <c r="A115" s="118" t="s">
        <v>51</v>
      </c>
      <c r="B115" s="119">
        <v>0</v>
      </c>
      <c r="C115" s="119">
        <v>0</v>
      </c>
      <c r="D115" s="119">
        <v>0</v>
      </c>
      <c r="E115" s="150">
        <v>0</v>
      </c>
      <c r="F115" s="150">
        <v>0</v>
      </c>
      <c r="G115" s="222"/>
      <c r="H115" s="223"/>
      <c r="I115" s="3">
        <f t="shared" si="8"/>
        <v>0</v>
      </c>
    </row>
    <row r="116" spans="1:9" ht="15" hidden="1" customHeight="1" outlineLevel="1" x14ac:dyDescent="0.25">
      <c r="A116" s="118" t="s">
        <v>51</v>
      </c>
      <c r="B116" s="119">
        <v>0</v>
      </c>
      <c r="C116" s="119">
        <v>0</v>
      </c>
      <c r="D116" s="119">
        <v>0</v>
      </c>
      <c r="E116" s="150">
        <v>0</v>
      </c>
      <c r="F116" s="150">
        <v>0</v>
      </c>
      <c r="G116" s="222"/>
      <c r="H116" s="223"/>
      <c r="I116" s="3">
        <f t="shared" si="8"/>
        <v>0</v>
      </c>
    </row>
    <row r="117" spans="1:9" ht="15" hidden="1" customHeight="1" outlineLevel="1" x14ac:dyDescent="0.25">
      <c r="A117" s="118" t="s">
        <v>51</v>
      </c>
      <c r="B117" s="119">
        <v>0</v>
      </c>
      <c r="C117" s="119">
        <v>0</v>
      </c>
      <c r="D117" s="119">
        <v>0</v>
      </c>
      <c r="E117" s="150">
        <v>0</v>
      </c>
      <c r="F117" s="150">
        <v>0</v>
      </c>
      <c r="G117" s="222"/>
      <c r="H117" s="223"/>
      <c r="I117" s="3">
        <f t="shared" si="8"/>
        <v>0</v>
      </c>
    </row>
    <row r="118" spans="1:9" ht="15" hidden="1" customHeight="1" outlineLevel="1" x14ac:dyDescent="0.25">
      <c r="B118" s="109"/>
      <c r="G118" s="221"/>
      <c r="H118" s="221"/>
    </row>
    <row r="119" spans="1:9" ht="15" hidden="1" customHeight="1" outlineLevel="1" x14ac:dyDescent="0.25">
      <c r="A119" s="75" t="s">
        <v>55</v>
      </c>
      <c r="B119" s="63"/>
      <c r="C119" s="63"/>
      <c r="D119" s="63"/>
      <c r="E119" s="64"/>
      <c r="F119" s="63"/>
      <c r="G119" s="63"/>
      <c r="H119" s="64"/>
      <c r="I119" s="63"/>
    </row>
    <row r="120" spans="1:9" ht="15" hidden="1" customHeight="1" outlineLevel="1" x14ac:dyDescent="0.25">
      <c r="A120" s="1" t="s">
        <v>45</v>
      </c>
      <c r="B120" s="167">
        <v>0.53500000000000003</v>
      </c>
    </row>
    <row r="121" spans="1:9" ht="15" hidden="1" customHeight="1" outlineLevel="1" x14ac:dyDescent="0.25">
      <c r="A121" s="1" t="s">
        <v>227</v>
      </c>
      <c r="B121" s="78"/>
      <c r="E121" s="1" t="s">
        <v>228</v>
      </c>
      <c r="F121" s="78"/>
      <c r="H121" s="1" t="s">
        <v>229</v>
      </c>
      <c r="I121" s="78"/>
    </row>
    <row r="122" spans="1:9" ht="15" hidden="1" customHeight="1" outlineLevel="1" x14ac:dyDescent="0.25">
      <c r="A122" s="1" t="s">
        <v>49</v>
      </c>
      <c r="B122" s="77" t="s">
        <v>53</v>
      </c>
      <c r="E122" s="1" t="s">
        <v>136</v>
      </c>
      <c r="F122" s="78"/>
      <c r="H122" s="1" t="s">
        <v>137</v>
      </c>
      <c r="I122" s="78"/>
    </row>
    <row r="123" spans="1:9" ht="15" hidden="1" customHeight="1" outlineLevel="1" x14ac:dyDescent="0.25">
      <c r="A123" s="1" t="s">
        <v>50</v>
      </c>
      <c r="B123" s="77" t="s">
        <v>53</v>
      </c>
      <c r="E123" s="1" t="s">
        <v>136</v>
      </c>
      <c r="F123" s="78"/>
      <c r="H123" s="1" t="s">
        <v>137</v>
      </c>
      <c r="I123" s="78"/>
    </row>
    <row r="124" spans="1:9" ht="15" hidden="1" customHeight="1" outlineLevel="1" x14ac:dyDescent="0.25">
      <c r="A124" s="1" t="s">
        <v>138</v>
      </c>
      <c r="B124" s="77" t="s">
        <v>53</v>
      </c>
      <c r="E124" s="1" t="s">
        <v>136</v>
      </c>
      <c r="F124" s="78"/>
      <c r="H124" s="1" t="s">
        <v>137</v>
      </c>
      <c r="I124" s="78"/>
    </row>
    <row r="125" spans="1:9" collapsed="1" x14ac:dyDescent="0.25"/>
  </sheetData>
  <mergeCells count="39">
    <mergeCell ref="G37:H37"/>
    <mergeCell ref="G31:H31"/>
    <mergeCell ref="G32:H32"/>
    <mergeCell ref="G33:H33"/>
    <mergeCell ref="G34:H34"/>
    <mergeCell ref="G35:H35"/>
    <mergeCell ref="G36:H36"/>
    <mergeCell ref="G30:H30"/>
    <mergeCell ref="G25:H25"/>
    <mergeCell ref="G26:H26"/>
    <mergeCell ref="G27:H27"/>
    <mergeCell ref="G28:H28"/>
    <mergeCell ref="G29:H29"/>
    <mergeCell ref="G66:H66"/>
    <mergeCell ref="G67:H67"/>
    <mergeCell ref="G68:H68"/>
    <mergeCell ref="G69:H69"/>
    <mergeCell ref="G70:H70"/>
    <mergeCell ref="G71:H71"/>
    <mergeCell ref="G72:H72"/>
    <mergeCell ref="G73:H73"/>
    <mergeCell ref="G74:H74"/>
    <mergeCell ref="G75:H75"/>
    <mergeCell ref="G76:H76"/>
    <mergeCell ref="G77:H77"/>
    <mergeCell ref="G78:H78"/>
    <mergeCell ref="G106:H106"/>
    <mergeCell ref="G107:H107"/>
    <mergeCell ref="G108:H108"/>
    <mergeCell ref="G109:H109"/>
    <mergeCell ref="G110:H110"/>
    <mergeCell ref="G111:H111"/>
    <mergeCell ref="G112:H112"/>
    <mergeCell ref="G118:H118"/>
    <mergeCell ref="G113:H113"/>
    <mergeCell ref="G114:H114"/>
    <mergeCell ref="G115:H115"/>
    <mergeCell ref="G116:H116"/>
    <mergeCell ref="G117:H117"/>
  </mergeCells>
  <dataValidations xWindow="783" yWindow="496" count="8">
    <dataValidation type="list" allowBlank="1" errorTitle="Error" sqref="B40:B44 B7:B8 B20 F3 B61 B82:B84 B101 B122:B124" xr:uid="{00000000-0002-0000-0000-000000000000}">
      <formula1>$M$2:$M$4</formula1>
    </dataValidation>
    <dataValidation type="list" allowBlank="1" showInputMessage="1" showErrorMessage="1" sqref="I7" xr:uid="{00000000-0002-0000-0000-000001000000}">
      <formula1>$M$8:$M$18</formula1>
    </dataValidation>
    <dataValidation allowBlank="1" sqref="G93:I102 G53:I62 G12:I21" xr:uid="{00000000-0002-0000-0000-000002000000}"/>
    <dataValidation type="list" allowBlank="1" sqref="A106:A117 A66:A77 A25:A36" xr:uid="{00000000-0002-0000-0000-000003000000}">
      <formula1>$N$32:$N$43</formula1>
    </dataValidation>
    <dataValidation type="list" allowBlank="1" sqref="A93:A102 A53:A62 A12:A21" xr:uid="{00000000-0002-0000-0000-000004000000}">
      <formula1>$N$19:$N$30</formula1>
    </dataValidation>
    <dataValidation allowBlank="1" showErrorMessage="1" promptTitle="Salary" prompt="The salary figure will auto-fill in.  Please feel free to override, however, the formula that calculates the salary automatically will be wiped out.  Current graduate student stipend is $27,000 and current NIH postdoc minimum is $38,496." sqref="E93:E102 E53:E62" xr:uid="{00000000-0002-0000-0000-000005000000}"/>
    <dataValidation type="list" allowBlank="1" sqref="B2" xr:uid="{00000000-0002-0000-0000-000006000000}">
      <formula1>$N$2:$N$17</formula1>
    </dataValidation>
    <dataValidation allowBlank="1" showInputMessage="1" showErrorMessage="1" promptTitle="Salary" prompt="The salary figure will auto-fill in.  If you override the amount, click the Reset Salary button to reset the salary.  Current graduate student stipend is $27,500 and current NIH postdoc minimum is $39,264." sqref="E12:E21" xr:uid="{00000000-0002-0000-0000-000007000000}"/>
  </dataValidations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7" name="Button 2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8" name="Button 2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9" name="Button 2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0" name="Button 2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1" name="Button 2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2" name="Button 2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3" name="Button 2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4" name="Button 2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15" name="Button 3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6" name="Button 32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7" name="Button 33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8" name="Button 34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9" name="Button 38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20" name="Button 39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21" name="Button 4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22" name="Button 4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3" name="Button 43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45</xdr:row>
                    <xdr:rowOff>0</xdr:rowOff>
                  </from>
                  <to>
                    <xdr:col>3</xdr:col>
                    <xdr:colOff>28575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4" name="Button 44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45</xdr:row>
                    <xdr:rowOff>0</xdr:rowOff>
                  </from>
                  <to>
                    <xdr:col>5</xdr:col>
                    <xdr:colOff>647700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5" name="Button 45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6" name="Button 46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7" name="Button 47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8" name="Button 49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9" name="Button 50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30" name="Button 5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31" name="Button 5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32" name="Button 5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33" name="Button 54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34" name="Button 55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35" name="Button 5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36" name="Button 5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37" name="Button 58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38" name="Button 59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39" name="Button 6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40" name="Button 6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41" name="Button 6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42" name="Button 6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43" name="Button 6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44" name="Button 6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45" name="Button 66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46" name="Button 67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47" name="Button 68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48" name="Button 69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49" name="Button 70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50" name="Button 7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51" name="Button 7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52" name="Button 73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53" name="Button 74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54" name="Button 7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55" name="Button 7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56" name="Button 7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57" name="Button 78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58" name="Button 79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59" name="Button 8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0" name="Button 8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1" name="Button 8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62" name="Button 8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63" name="Button 8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64" name="Button 8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65" name="Button 8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66" name="Button 8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67" name="Button 8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68" name="Button 8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69" name="Button 90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" name="Button 9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1" name="Button 92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2" name="Button 93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3" name="Button 94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4" name="Button 9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5" name="Button 9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6" name="Button 98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7" name="Button 99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8" name="Button 10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9" name="Button 10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80" name="Button 10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81" name="Button 103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82" name="Button 104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83" name="Button 10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84" name="Button 10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85" name="Button 10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86" name="Button 10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87" name="Button 10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88" name="Button 11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89" name="Button 11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90" name="Button 11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91" name="Button 11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92" name="Button 11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93" name="Button 115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94" name="Button 116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95" name="Button 117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96" name="Button 118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97" name="Button 119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98" name="Button 12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99" name="Button 12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00" name="Button 12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01" name="Button 12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02" name="Button 12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03" name="Button 12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04" name="Button 12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05" name="Button 12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06" name="Button 12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07" name="Button 12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08" name="Button 13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09" name="Button 13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10" name="Button 13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11" name="Button 13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12" name="Button 13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13" name="Button 135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14" name="Button 136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15" name="Button 13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16" name="Button 13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17" name="Button 139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18" name="Button 140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19" name="Button 14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20" name="Button 142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21" name="Button 14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22" name="Button 14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23" name="Button 14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24" name="Button 14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25" name="Button 14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26" name="Button 14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27" name="Button 15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28" name="Button 15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29" name="Button 15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30" name="Button 15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31" name="Button 15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32" name="Button 15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33" name="Button 15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34" name="Button 15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35" name="Button 15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36" name="Button 15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37" name="Button 16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38" name="Button 16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39" name="Button 16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40" name="Button 16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41" name="Button 164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42" name="Button 165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43" name="Button 166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44" name="Button 167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45" name="Button 16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46" name="Button 16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47" name="Button 17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48" name="Button 17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49" name="Button 17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50" name="Button 17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51" name="Button 17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52" name="Button 17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53" name="Button 17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54" name="Button 17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55" name="Button 17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56" name="Button 17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57" name="Button 18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58" name="Button 18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59" name="Button 18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60" name="Button 18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61" name="Button 184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62" name="Button 185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63" name="Button 18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64" name="Button 18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65" name="Button 188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66" name="Button 189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67" name="Button 190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68" name="Button 191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69" name="Button 19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70" name="Button 19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71" name="Button 19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72" name="Button 19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173" name="Button 19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174" name="Button 19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175" name="Button 20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176" name="Button 20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177" name="Button 20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178" name="Button 20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179" name="Button 20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180" name="Button 20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81" name="Button 20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182" name="Button 20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183" name="Button 20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184" name="Button 20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185" name="Button 21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186" name="Button 21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187" name="Button 21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188" name="Button 21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189" name="Button 214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190" name="Button 215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191" name="Button 216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192" name="Button 217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193" name="Button 21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194" name="Button 21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195" name="Button 22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196" name="Button 22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197" name="Button 22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198" name="Button 22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199" name="Button 22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200" name="Button 22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201" name="Button 22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202" name="Button 22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203" name="Button 22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204" name="Button 22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205" name="Button 23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206" name="Button 23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207" name="Button 23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208" name="Button 23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209" name="Button 234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210" name="Button 235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211" name="Button 23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212" name="Button 23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213" name="Button 238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214" name="Button 239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215" name="Button 240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216" name="Button 241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217" name="Button 24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218" name="Button 24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219" name="Button 24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220" name="Button 24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221" name="Button 24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222" name="Button 24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223" name="Button 24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224" name="Button 25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225" name="Button 25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226" name="Button 25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227" name="Button 25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228" name="Button 25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229" name="Button 255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230" name="Button 256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231" name="Button 25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232" name="Button 25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233" name="Button 259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234" name="Button 260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235" name="Button 26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236" name="Button 26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237" name="Button 263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238" name="Button 264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239" name="Button 265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240" name="Button 266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241" name="Button 26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242" name="Button 268">
              <controlPr defaultSize="0" print="0" autoFill="0" autoPict="0" macro="[0]!ResetSalary.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243" name="Button 26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244" name="Button 27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245" name="Button 27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246" name="Button 27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247" name="Button 27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248" name="Button 27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249" name="Button 275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250" name="Button 276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251" name="Button 27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252" name="Button 27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253" name="Button 279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254" name="Button 280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255" name="Button 28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256" name="Button 28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257" name="Button 283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258" name="Button 284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259" name="Button 28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260" name="Button 28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261" name="Button 287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262" name="Button 288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263" name="Button 289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264" name="Button 290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265" name="Button 29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266" name="Button 29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267" name="Button 29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268" name="Button 29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269" name="Button 29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270" name="Button 29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271" name="Button 30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272" name="Button 301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273" name="Button 302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274" name="Button 30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275" name="Button 30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276" name="Button 30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277" name="Button 30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278" name="Button 30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279" name="Button 30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280" name="Button 30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281" name="Button 31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282" name="Button 31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283" name="Button 31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284" name="Button 31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285" name="Button 314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286" name="Button 315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287" name="Button 316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288" name="Button 317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289" name="Button 31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290" name="Button 319">
              <controlPr defaultSize="0" print="0" autoFill="0" autoPict="0" macro="[0]!ResetSalary.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291" name="Button 32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292" name="Button 32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293" name="Button 32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294" name="Button 32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295" name="Button 32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296" name="Button 32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297" name="Button 326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298" name="Button 327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299" name="Button 32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300" name="Button 32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301" name="Button 330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302" name="Button 331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303" name="Button 332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304" name="Button 33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305" name="Button 334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306" name="Button 335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307" name="Button 336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308" name="Button 33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309" name="Button 338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310" name="Button 339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311" name="Button 340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312" name="Button 341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313" name="Button 34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314" name="Button 34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315" name="Button 34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125"/>
  <sheetViews>
    <sheetView workbookViewId="0">
      <selection sqref="A1:XFD1048576"/>
    </sheetView>
  </sheetViews>
  <sheetFormatPr defaultColWidth="8.85546875" defaultRowHeight="15" outlineLevelRow="1" x14ac:dyDescent="0.25"/>
  <cols>
    <col min="1" max="1" width="45.140625" style="1" bestFit="1" customWidth="1"/>
    <col min="2" max="2" width="15.42578125" bestFit="1" customWidth="1"/>
    <col min="3" max="3" width="16" customWidth="1"/>
    <col min="4" max="4" width="16.28515625" customWidth="1"/>
    <col min="5" max="5" width="19.42578125" style="1" customWidth="1"/>
    <col min="6" max="6" width="12.42578125" bestFit="1" customWidth="1"/>
    <col min="7" max="7" width="18.42578125" bestFit="1" customWidth="1"/>
    <col min="8" max="8" width="27.42578125" style="1" bestFit="1" customWidth="1"/>
    <col min="9" max="9" width="12.42578125" customWidth="1"/>
    <col min="10" max="16" width="9.140625" hidden="1" customWidth="1"/>
  </cols>
  <sheetData>
    <row r="1" spans="1:14" x14ac:dyDescent="0.25">
      <c r="A1" s="74" t="s">
        <v>47</v>
      </c>
      <c r="B1" s="49"/>
      <c r="C1" s="49"/>
      <c r="D1" s="49"/>
      <c r="E1" s="50"/>
      <c r="F1" s="49"/>
      <c r="G1" s="49"/>
      <c r="H1" s="50"/>
      <c r="I1" s="49"/>
    </row>
    <row r="2" spans="1:14" x14ac:dyDescent="0.25">
      <c r="A2" s="1" t="s">
        <v>44</v>
      </c>
      <c r="B2" s="47" t="s">
        <v>51</v>
      </c>
      <c r="E2" s="1" t="s">
        <v>161</v>
      </c>
      <c r="F2" s="103"/>
      <c r="M2" t="s">
        <v>51</v>
      </c>
      <c r="N2" t="s">
        <v>51</v>
      </c>
    </row>
    <row r="3" spans="1:14" x14ac:dyDescent="0.25">
      <c r="A3" s="1" t="s">
        <v>38</v>
      </c>
      <c r="B3" s="47"/>
      <c r="E3" s="1" t="s">
        <v>35</v>
      </c>
      <c r="F3" s="80" t="s">
        <v>51</v>
      </c>
      <c r="H3" s="1" t="s">
        <v>39</v>
      </c>
      <c r="I3" s="80"/>
      <c r="M3" t="s">
        <v>52</v>
      </c>
      <c r="N3" t="s">
        <v>120</v>
      </c>
    </row>
    <row r="4" spans="1:14" x14ac:dyDescent="0.25">
      <c r="A4" s="1" t="s">
        <v>43</v>
      </c>
      <c r="B4" s="173"/>
      <c r="E4" s="1" t="s">
        <v>132</v>
      </c>
      <c r="F4" s="79"/>
      <c r="M4" t="s">
        <v>53</v>
      </c>
      <c r="N4" t="s">
        <v>177</v>
      </c>
    </row>
    <row r="5" spans="1:14" x14ac:dyDescent="0.25">
      <c r="A5" s="1" t="s">
        <v>54</v>
      </c>
      <c r="B5" s="80"/>
      <c r="E5" s="1" t="s">
        <v>133</v>
      </c>
      <c r="F5" s="80"/>
      <c r="N5" t="s">
        <v>121</v>
      </c>
    </row>
    <row r="6" spans="1:14" x14ac:dyDescent="0.25">
      <c r="A6" s="1" t="s">
        <v>42</v>
      </c>
      <c r="B6" s="79"/>
      <c r="E6" s="1" t="s">
        <v>60</v>
      </c>
      <c r="F6" s="79">
        <f>'Back-end'!E3</f>
        <v>1826</v>
      </c>
      <c r="N6" t="s">
        <v>122</v>
      </c>
    </row>
    <row r="7" spans="1:14" x14ac:dyDescent="0.25">
      <c r="A7" s="1" t="s">
        <v>37</v>
      </c>
      <c r="B7" s="80" t="s">
        <v>51</v>
      </c>
      <c r="E7" s="1" t="s">
        <v>41</v>
      </c>
      <c r="F7" s="80" t="s">
        <v>52</v>
      </c>
      <c r="H7" s="1" t="s">
        <v>224</v>
      </c>
      <c r="I7" s="80" t="s">
        <v>51</v>
      </c>
      <c r="N7" t="s">
        <v>123</v>
      </c>
    </row>
    <row r="8" spans="1:14" x14ac:dyDescent="0.25">
      <c r="A8" s="1" t="s">
        <v>36</v>
      </c>
      <c r="B8" s="80" t="s">
        <v>51</v>
      </c>
      <c r="E8" s="1" t="s">
        <v>40</v>
      </c>
      <c r="F8" s="80">
        <v>0</v>
      </c>
      <c r="M8" t="s">
        <v>51</v>
      </c>
      <c r="N8" t="s">
        <v>124</v>
      </c>
    </row>
    <row r="9" spans="1:14" x14ac:dyDescent="0.25">
      <c r="F9" s="174"/>
      <c r="M9">
        <v>1</v>
      </c>
      <c r="N9" t="s">
        <v>125</v>
      </c>
    </row>
    <row r="10" spans="1:14" x14ac:dyDescent="0.25">
      <c r="A10" s="101" t="s">
        <v>158</v>
      </c>
      <c r="B10" s="10"/>
      <c r="C10" s="10"/>
      <c r="D10" s="10"/>
      <c r="E10" s="10"/>
      <c r="F10" s="10"/>
      <c r="G10" s="10"/>
      <c r="H10" s="10"/>
      <c r="I10" s="10"/>
      <c r="M10">
        <v>2</v>
      </c>
      <c r="N10" t="s">
        <v>178</v>
      </c>
    </row>
    <row r="11" spans="1:14" x14ac:dyDescent="0.25">
      <c r="A11" s="126" t="s">
        <v>159</v>
      </c>
      <c r="B11" s="126" t="s">
        <v>160</v>
      </c>
      <c r="C11" s="102" t="s">
        <v>156</v>
      </c>
      <c r="D11" s="102" t="s">
        <v>165</v>
      </c>
      <c r="E11" s="102" t="s">
        <v>12</v>
      </c>
      <c r="F11" s="126" t="s">
        <v>11</v>
      </c>
      <c r="G11" s="126" t="s">
        <v>162</v>
      </c>
      <c r="H11" s="126" t="s">
        <v>163</v>
      </c>
      <c r="I11" s="126" t="s">
        <v>164</v>
      </c>
      <c r="J11" t="s">
        <v>202</v>
      </c>
      <c r="M11">
        <v>3</v>
      </c>
      <c r="N11" t="s">
        <v>126</v>
      </c>
    </row>
    <row r="12" spans="1:14" x14ac:dyDescent="0.25">
      <c r="A12" s="117" t="s">
        <v>51</v>
      </c>
      <c r="B12" s="112"/>
      <c r="C12" s="114"/>
      <c r="D12" s="114"/>
      <c r="E12" s="115">
        <f>IF(A12="PI, Summer",$F$2*3,IF(A12="PI, Academic",$F$2,IF(A12="Co-PI, Summer",0,IF(A12="Co-PI, Academic",0,IF(A12="Undergraduate RA",4000,IF(A12="Research Assistant",27500,IF(A12="Research Assistant, Academic",20625,IF(A12="Research Assistant, Summer",6875,IF(A12="Research Associate, Summer",0,IF(A12="Research Associate",0,IF(A12="Postdoctoral Associate",39264,0)))))))))))</f>
        <v>0</v>
      </c>
      <c r="F12" s="116"/>
      <c r="G12" s="113"/>
      <c r="H12" s="113"/>
      <c r="I12">
        <f>G12+H12</f>
        <v>0</v>
      </c>
      <c r="J12" t="b">
        <f>IF(AND(A12="PI, Summer",$I12&lt;=3),TRUE,FALSE)</f>
        <v>0</v>
      </c>
      <c r="M12">
        <v>4</v>
      </c>
      <c r="N12" t="s">
        <v>127</v>
      </c>
    </row>
    <row r="13" spans="1:14" x14ac:dyDescent="0.25">
      <c r="A13" s="117" t="s">
        <v>51</v>
      </c>
      <c r="B13" s="112"/>
      <c r="C13" s="114"/>
      <c r="D13" s="114"/>
      <c r="E13" s="115">
        <f t="shared" ref="E13:E21" si="0">IF(A13="PI, Summer",$F$2*3,IF(A13="PI, Academic",$F$2,IF(A13="Co-PI, Summer",0,IF(A13="Co-PI, Academic",0,IF(A13="Undergraduate RA",4000,IF(A13="Research Assistant",27500,IF(A13="Research Assistant, Academic",20625,IF(A13="Research Assistant, Summer",6875,IF(A13="Research Associate, Summer",0,IF(A13="Research Associate",0,IF(A13="Postdoctoral Associate",39264,0)))))))))))</f>
        <v>0</v>
      </c>
      <c r="F13" s="116"/>
      <c r="G13" s="113"/>
      <c r="H13" s="113"/>
      <c r="I13">
        <f t="shared" ref="I13:I21" si="1">G13+H13</f>
        <v>0</v>
      </c>
      <c r="M13">
        <v>5</v>
      </c>
      <c r="N13" t="s">
        <v>129</v>
      </c>
    </row>
    <row r="14" spans="1:14" x14ac:dyDescent="0.25">
      <c r="A14" s="117" t="s">
        <v>51</v>
      </c>
      <c r="B14" s="112"/>
      <c r="C14" s="114"/>
      <c r="D14" s="114"/>
      <c r="E14" s="115">
        <f t="shared" si="0"/>
        <v>0</v>
      </c>
      <c r="F14" s="116"/>
      <c r="G14" s="113"/>
      <c r="H14" s="113"/>
      <c r="I14">
        <f t="shared" si="1"/>
        <v>0</v>
      </c>
      <c r="M14">
        <v>6</v>
      </c>
      <c r="N14" t="s">
        <v>119</v>
      </c>
    </row>
    <row r="15" spans="1:14" x14ac:dyDescent="0.25">
      <c r="A15" s="117" t="s">
        <v>51</v>
      </c>
      <c r="B15" s="112"/>
      <c r="C15" s="114"/>
      <c r="D15" s="114"/>
      <c r="E15" s="115">
        <f t="shared" si="0"/>
        <v>0</v>
      </c>
      <c r="F15" s="116"/>
      <c r="G15" s="113"/>
      <c r="H15" s="113"/>
      <c r="I15">
        <f t="shared" si="1"/>
        <v>0</v>
      </c>
      <c r="M15">
        <v>7</v>
      </c>
      <c r="N15" t="s">
        <v>128</v>
      </c>
    </row>
    <row r="16" spans="1:14" x14ac:dyDescent="0.25">
      <c r="A16" s="117" t="s">
        <v>51</v>
      </c>
      <c r="B16" s="112"/>
      <c r="C16" s="114"/>
      <c r="D16" s="114"/>
      <c r="E16" s="115">
        <f t="shared" si="0"/>
        <v>0</v>
      </c>
      <c r="F16" s="116"/>
      <c r="G16" s="113"/>
      <c r="H16" s="113"/>
      <c r="I16">
        <f t="shared" si="1"/>
        <v>0</v>
      </c>
      <c r="M16">
        <v>8</v>
      </c>
      <c r="N16" t="s">
        <v>130</v>
      </c>
    </row>
    <row r="17" spans="1:16" x14ac:dyDescent="0.25">
      <c r="A17" s="117" t="s">
        <v>51</v>
      </c>
      <c r="B17" s="112"/>
      <c r="C17" s="114"/>
      <c r="D17" s="114"/>
      <c r="E17" s="115">
        <f t="shared" si="0"/>
        <v>0</v>
      </c>
      <c r="F17" s="116"/>
      <c r="G17" s="113"/>
      <c r="H17" s="113"/>
      <c r="I17">
        <f t="shared" si="1"/>
        <v>0</v>
      </c>
      <c r="M17">
        <v>9</v>
      </c>
      <c r="N17" t="s">
        <v>131</v>
      </c>
    </row>
    <row r="18" spans="1:16" x14ac:dyDescent="0.25">
      <c r="A18" s="117" t="s">
        <v>51</v>
      </c>
      <c r="B18" s="113"/>
      <c r="C18" s="114"/>
      <c r="D18" s="114"/>
      <c r="E18" s="115">
        <f t="shared" si="0"/>
        <v>0</v>
      </c>
      <c r="F18" s="116"/>
      <c r="G18" s="113"/>
      <c r="H18" s="113"/>
      <c r="I18">
        <f t="shared" si="1"/>
        <v>0</v>
      </c>
      <c r="M18">
        <v>10</v>
      </c>
    </row>
    <row r="19" spans="1:16" x14ac:dyDescent="0.25">
      <c r="A19" s="117" t="s">
        <v>51</v>
      </c>
      <c r="B19" s="113"/>
      <c r="C19" s="114"/>
      <c r="D19" s="114"/>
      <c r="E19" s="115">
        <f t="shared" si="0"/>
        <v>0</v>
      </c>
      <c r="F19" s="116"/>
      <c r="G19" s="113"/>
      <c r="H19" s="113"/>
      <c r="I19">
        <f t="shared" si="1"/>
        <v>0</v>
      </c>
      <c r="N19" t="s">
        <v>51</v>
      </c>
      <c r="O19" t="s">
        <v>222</v>
      </c>
      <c r="P19" t="s">
        <v>223</v>
      </c>
    </row>
    <row r="20" spans="1:16" x14ac:dyDescent="0.25">
      <c r="A20" s="117" t="s">
        <v>51</v>
      </c>
      <c r="B20" s="113"/>
      <c r="C20" s="114"/>
      <c r="D20" s="114"/>
      <c r="E20" s="115">
        <f t="shared" si="0"/>
        <v>0</v>
      </c>
      <c r="F20" s="116"/>
      <c r="G20" s="113"/>
      <c r="H20" s="113"/>
      <c r="I20">
        <f t="shared" si="1"/>
        <v>0</v>
      </c>
      <c r="N20" t="s">
        <v>7</v>
      </c>
      <c r="O20">
        <v>3</v>
      </c>
      <c r="P20">
        <v>0</v>
      </c>
    </row>
    <row r="21" spans="1:16" x14ac:dyDescent="0.25">
      <c r="A21" s="117" t="s">
        <v>51</v>
      </c>
      <c r="B21" s="113"/>
      <c r="C21" s="114"/>
      <c r="D21" s="114"/>
      <c r="E21" s="115">
        <f t="shared" si="0"/>
        <v>0</v>
      </c>
      <c r="F21" s="116"/>
      <c r="G21" s="113"/>
      <c r="H21" s="113"/>
      <c r="I21">
        <f t="shared" si="1"/>
        <v>0</v>
      </c>
      <c r="N21" t="s">
        <v>8</v>
      </c>
      <c r="O21">
        <v>0</v>
      </c>
      <c r="P21">
        <v>9</v>
      </c>
    </row>
    <row r="22" spans="1:16" x14ac:dyDescent="0.25">
      <c r="B22" s="109"/>
      <c r="N22" t="s">
        <v>191</v>
      </c>
      <c r="O22">
        <v>3</v>
      </c>
      <c r="P22">
        <v>9</v>
      </c>
    </row>
    <row r="23" spans="1:16" x14ac:dyDescent="0.25">
      <c r="A23" s="76" t="s">
        <v>179</v>
      </c>
      <c r="B23" s="34"/>
      <c r="C23" s="34"/>
      <c r="D23" s="34"/>
      <c r="E23" s="34"/>
      <c r="F23" s="34"/>
      <c r="G23" s="34"/>
      <c r="H23" s="34"/>
      <c r="I23" s="34"/>
      <c r="N23" t="s">
        <v>101</v>
      </c>
      <c r="O23">
        <v>3</v>
      </c>
      <c r="P23">
        <v>0</v>
      </c>
    </row>
    <row r="24" spans="1:16" x14ac:dyDescent="0.25">
      <c r="A24" s="120" t="s">
        <v>180</v>
      </c>
      <c r="B24" s="120" t="s">
        <v>3</v>
      </c>
      <c r="C24" s="121" t="s">
        <v>4</v>
      </c>
      <c r="D24" s="121" t="s">
        <v>147</v>
      </c>
      <c r="E24" s="121" t="s">
        <v>151</v>
      </c>
      <c r="F24" s="120" t="s">
        <v>152</v>
      </c>
      <c r="G24" s="120" t="s">
        <v>183</v>
      </c>
      <c r="H24" s="120"/>
      <c r="I24" s="120" t="s">
        <v>164</v>
      </c>
      <c r="N24" t="s">
        <v>102</v>
      </c>
      <c r="O24">
        <v>0</v>
      </c>
      <c r="P24">
        <v>9</v>
      </c>
    </row>
    <row r="25" spans="1:16" x14ac:dyDescent="0.25">
      <c r="A25" s="118" t="s">
        <v>51</v>
      </c>
      <c r="B25" s="119">
        <v>0</v>
      </c>
      <c r="C25" s="119">
        <v>0</v>
      </c>
      <c r="D25" s="119">
        <v>0</v>
      </c>
      <c r="E25" s="119">
        <v>0</v>
      </c>
      <c r="F25" s="119">
        <v>0</v>
      </c>
      <c r="G25" s="222"/>
      <c r="H25" s="223"/>
      <c r="I25" s="3">
        <f>SUM(B25:F25)</f>
        <v>0</v>
      </c>
      <c r="N25" t="s">
        <v>192</v>
      </c>
      <c r="O25">
        <v>3</v>
      </c>
      <c r="P25">
        <v>9</v>
      </c>
    </row>
    <row r="26" spans="1:16" x14ac:dyDescent="0.25">
      <c r="A26" s="118" t="s">
        <v>51</v>
      </c>
      <c r="B26" s="119">
        <v>0</v>
      </c>
      <c r="C26" s="119">
        <v>0</v>
      </c>
      <c r="D26" s="119">
        <v>0</v>
      </c>
      <c r="E26" s="149">
        <v>0</v>
      </c>
      <c r="F26" s="150">
        <v>0</v>
      </c>
      <c r="G26" s="222"/>
      <c r="H26" s="223"/>
      <c r="I26" s="3">
        <f t="shared" ref="I26:I36" si="2">SUM(B26:F26)</f>
        <v>0</v>
      </c>
      <c r="N26" t="s">
        <v>17</v>
      </c>
      <c r="O26">
        <v>3</v>
      </c>
      <c r="P26">
        <v>0</v>
      </c>
    </row>
    <row r="27" spans="1:16" x14ac:dyDescent="0.25">
      <c r="A27" s="118" t="s">
        <v>51</v>
      </c>
      <c r="B27" s="119">
        <v>0</v>
      </c>
      <c r="C27" s="119">
        <v>0</v>
      </c>
      <c r="D27" s="119">
        <v>0</v>
      </c>
      <c r="E27" s="149">
        <v>0</v>
      </c>
      <c r="F27" s="150">
        <v>0</v>
      </c>
      <c r="G27" s="222"/>
      <c r="H27" s="223"/>
      <c r="I27" s="3">
        <f t="shared" si="2"/>
        <v>0</v>
      </c>
      <c r="N27" t="s">
        <v>15</v>
      </c>
      <c r="O27">
        <v>3</v>
      </c>
      <c r="P27">
        <v>9</v>
      </c>
    </row>
    <row r="28" spans="1:16" x14ac:dyDescent="0.25">
      <c r="A28" s="118" t="s">
        <v>51</v>
      </c>
      <c r="B28" s="119">
        <v>0</v>
      </c>
      <c r="C28" s="119">
        <v>0</v>
      </c>
      <c r="D28" s="119">
        <v>0</v>
      </c>
      <c r="E28" s="149">
        <v>0</v>
      </c>
      <c r="F28" s="150">
        <v>0</v>
      </c>
      <c r="G28" s="222"/>
      <c r="H28" s="223"/>
      <c r="I28" s="3">
        <f t="shared" si="2"/>
        <v>0</v>
      </c>
      <c r="N28" t="s">
        <v>153</v>
      </c>
      <c r="O28">
        <v>3</v>
      </c>
      <c r="P28">
        <v>0</v>
      </c>
    </row>
    <row r="29" spans="1:16" x14ac:dyDescent="0.25">
      <c r="A29" s="118" t="s">
        <v>51</v>
      </c>
      <c r="B29" s="119">
        <v>0</v>
      </c>
      <c r="C29" s="119">
        <v>0</v>
      </c>
      <c r="D29" s="119">
        <v>0</v>
      </c>
      <c r="E29" s="149">
        <v>0</v>
      </c>
      <c r="F29" s="150">
        <v>0</v>
      </c>
      <c r="G29" s="222"/>
      <c r="H29" s="223"/>
      <c r="I29" s="3">
        <f t="shared" si="2"/>
        <v>0</v>
      </c>
      <c r="N29" t="s">
        <v>154</v>
      </c>
      <c r="O29">
        <v>0</v>
      </c>
      <c r="P29">
        <v>9</v>
      </c>
    </row>
    <row r="30" spans="1:16" x14ac:dyDescent="0.25">
      <c r="A30" s="118" t="s">
        <v>51</v>
      </c>
      <c r="B30" s="119">
        <v>0</v>
      </c>
      <c r="C30" s="119">
        <v>0</v>
      </c>
      <c r="D30" s="119">
        <v>0</v>
      </c>
      <c r="E30" s="149">
        <v>0</v>
      </c>
      <c r="F30" s="150">
        <v>0</v>
      </c>
      <c r="G30" s="222"/>
      <c r="H30" s="223"/>
      <c r="I30" s="3">
        <f t="shared" si="2"/>
        <v>0</v>
      </c>
      <c r="N30" t="s">
        <v>155</v>
      </c>
      <c r="O30">
        <v>3</v>
      </c>
      <c r="P30">
        <v>9</v>
      </c>
    </row>
    <row r="31" spans="1:16" x14ac:dyDescent="0.25">
      <c r="A31" s="118" t="s">
        <v>51</v>
      </c>
      <c r="B31" s="119">
        <v>0</v>
      </c>
      <c r="C31" s="119">
        <v>0</v>
      </c>
      <c r="D31" s="119">
        <v>0</v>
      </c>
      <c r="E31" s="149">
        <v>0</v>
      </c>
      <c r="F31" s="150">
        <v>0</v>
      </c>
      <c r="G31" s="222"/>
      <c r="H31" s="223"/>
      <c r="I31" s="3">
        <f t="shared" si="2"/>
        <v>0</v>
      </c>
    </row>
    <row r="32" spans="1:16" x14ac:dyDescent="0.25">
      <c r="A32" s="118" t="s">
        <v>51</v>
      </c>
      <c r="B32" s="119">
        <v>0</v>
      </c>
      <c r="C32" s="119">
        <v>0</v>
      </c>
      <c r="D32" s="119">
        <v>0</v>
      </c>
      <c r="E32" s="149">
        <v>0</v>
      </c>
      <c r="F32" s="150">
        <v>0</v>
      </c>
      <c r="G32" s="222"/>
      <c r="H32" s="223"/>
      <c r="I32" s="3">
        <f t="shared" si="2"/>
        <v>0</v>
      </c>
      <c r="N32" t="s">
        <v>51</v>
      </c>
    </row>
    <row r="33" spans="1:14" x14ac:dyDescent="0.25">
      <c r="A33" s="118" t="s">
        <v>51</v>
      </c>
      <c r="B33" s="119">
        <v>0</v>
      </c>
      <c r="C33" s="119">
        <v>0</v>
      </c>
      <c r="D33" s="119">
        <v>0</v>
      </c>
      <c r="E33" s="149">
        <v>0</v>
      </c>
      <c r="F33" s="150">
        <v>0</v>
      </c>
      <c r="G33" s="222"/>
      <c r="H33" s="223"/>
      <c r="I33" s="3">
        <f t="shared" si="2"/>
        <v>0</v>
      </c>
      <c r="N33" t="s">
        <v>20</v>
      </c>
    </row>
    <row r="34" spans="1:14" x14ac:dyDescent="0.25">
      <c r="A34" s="118" t="s">
        <v>51</v>
      </c>
      <c r="B34" s="119">
        <v>0</v>
      </c>
      <c r="C34" s="119">
        <v>0</v>
      </c>
      <c r="D34" s="119">
        <v>0</v>
      </c>
      <c r="E34" s="149">
        <v>0</v>
      </c>
      <c r="F34" s="150">
        <v>0</v>
      </c>
      <c r="G34" s="222"/>
      <c r="H34" s="223"/>
      <c r="I34" s="3">
        <f t="shared" si="2"/>
        <v>0</v>
      </c>
      <c r="N34" t="s">
        <v>181</v>
      </c>
    </row>
    <row r="35" spans="1:14" x14ac:dyDescent="0.25">
      <c r="A35" s="118" t="s">
        <v>51</v>
      </c>
      <c r="B35" s="119">
        <v>0</v>
      </c>
      <c r="C35" s="119">
        <v>0</v>
      </c>
      <c r="D35" s="119">
        <v>0</v>
      </c>
      <c r="E35" s="149">
        <v>0</v>
      </c>
      <c r="F35" s="150">
        <v>0</v>
      </c>
      <c r="G35" s="222"/>
      <c r="H35" s="223"/>
      <c r="I35" s="3">
        <f t="shared" si="2"/>
        <v>0</v>
      </c>
      <c r="N35" t="s">
        <v>182</v>
      </c>
    </row>
    <row r="36" spans="1:14" x14ac:dyDescent="0.25">
      <c r="A36" s="118" t="s">
        <v>51</v>
      </c>
      <c r="B36" s="119">
        <v>0</v>
      </c>
      <c r="C36" s="119">
        <v>0</v>
      </c>
      <c r="D36" s="119">
        <v>0</v>
      </c>
      <c r="E36" s="149">
        <v>0</v>
      </c>
      <c r="F36" s="150">
        <v>0</v>
      </c>
      <c r="G36" s="222"/>
      <c r="H36" s="223"/>
      <c r="I36" s="3">
        <f t="shared" si="2"/>
        <v>0</v>
      </c>
      <c r="N36" t="s">
        <v>142</v>
      </c>
    </row>
    <row r="37" spans="1:14" x14ac:dyDescent="0.25">
      <c r="B37" s="109"/>
      <c r="G37" s="221"/>
      <c r="H37" s="221"/>
      <c r="N37" t="s">
        <v>185</v>
      </c>
    </row>
    <row r="38" spans="1:14" x14ac:dyDescent="0.25">
      <c r="A38" s="75" t="s">
        <v>230</v>
      </c>
      <c r="B38" s="63"/>
      <c r="C38" s="63"/>
      <c r="D38" s="63"/>
      <c r="E38" s="64"/>
      <c r="F38" s="63"/>
      <c r="G38" s="63"/>
      <c r="H38" s="64"/>
      <c r="I38" s="63"/>
      <c r="N38" t="s">
        <v>186</v>
      </c>
    </row>
    <row r="39" spans="1:14" x14ac:dyDescent="0.25">
      <c r="A39" s="1" t="s">
        <v>45</v>
      </c>
      <c r="B39" s="167">
        <v>0.53500000000000003</v>
      </c>
      <c r="E39" s="1" t="s">
        <v>240</v>
      </c>
      <c r="F39" s="178">
        <v>1.03</v>
      </c>
      <c r="N39" t="s">
        <v>187</v>
      </c>
    </row>
    <row r="40" spans="1:14" x14ac:dyDescent="0.25">
      <c r="A40" s="1" t="s">
        <v>46</v>
      </c>
      <c r="B40" s="77" t="s">
        <v>52</v>
      </c>
      <c r="N40" t="s">
        <v>176</v>
      </c>
    </row>
    <row r="41" spans="1:14" x14ac:dyDescent="0.25">
      <c r="A41" s="1" t="s">
        <v>48</v>
      </c>
      <c r="B41" s="77" t="s">
        <v>52</v>
      </c>
      <c r="N41" t="s">
        <v>188</v>
      </c>
    </row>
    <row r="42" spans="1:14" x14ac:dyDescent="0.25">
      <c r="A42" s="1" t="s">
        <v>49</v>
      </c>
      <c r="B42" s="77" t="s">
        <v>53</v>
      </c>
      <c r="E42" s="1" t="s">
        <v>136</v>
      </c>
      <c r="F42" s="78"/>
      <c r="H42" s="1" t="s">
        <v>137</v>
      </c>
      <c r="I42" s="78"/>
      <c r="N42" t="s">
        <v>175</v>
      </c>
    </row>
    <row r="43" spans="1:14" x14ac:dyDescent="0.25">
      <c r="A43" s="1" t="s">
        <v>50</v>
      </c>
      <c r="B43" s="77" t="s">
        <v>53</v>
      </c>
      <c r="E43" s="1" t="s">
        <v>136</v>
      </c>
      <c r="F43" s="78"/>
      <c r="H43" s="1" t="s">
        <v>137</v>
      </c>
      <c r="I43" s="78"/>
      <c r="N43" t="s">
        <v>189</v>
      </c>
    </row>
    <row r="44" spans="1:14" x14ac:dyDescent="0.25">
      <c r="A44" s="1" t="s">
        <v>138</v>
      </c>
      <c r="B44" s="77" t="s">
        <v>53</v>
      </c>
      <c r="E44" s="1" t="s">
        <v>136</v>
      </c>
      <c r="F44" s="78"/>
      <c r="H44" s="1" t="s">
        <v>137</v>
      </c>
      <c r="I44" s="78"/>
    </row>
    <row r="46" spans="1:14" ht="15" hidden="1" customHeight="1" outlineLevel="1" x14ac:dyDescent="0.25">
      <c r="A46" s="74" t="s">
        <v>47</v>
      </c>
      <c r="B46" s="49"/>
      <c r="C46" s="49"/>
      <c r="D46" s="49"/>
      <c r="E46" s="50"/>
      <c r="F46" s="49"/>
      <c r="G46" s="49"/>
      <c r="H46" s="50"/>
      <c r="I46" s="49"/>
    </row>
    <row r="47" spans="1:14" ht="15" hidden="1" customHeight="1" outlineLevel="1" x14ac:dyDescent="0.25">
      <c r="A47" s="1" t="s">
        <v>44</v>
      </c>
      <c r="B47" s="47"/>
      <c r="E47" s="1" t="s">
        <v>161</v>
      </c>
      <c r="F47" s="103"/>
    </row>
    <row r="48" spans="1:14" ht="15" hidden="1" customHeight="1" outlineLevel="1" x14ac:dyDescent="0.25">
      <c r="A48" s="1" t="s">
        <v>225</v>
      </c>
      <c r="B48" s="47"/>
      <c r="F48" s="80"/>
      <c r="I48" s="80"/>
    </row>
    <row r="49" spans="1:9" ht="15" hidden="1" customHeight="1" outlineLevel="1" x14ac:dyDescent="0.25">
      <c r="A49" s="1" t="s">
        <v>226</v>
      </c>
      <c r="B49" s="173"/>
      <c r="F49" s="79"/>
    </row>
    <row r="50" spans="1:9" ht="15" hidden="1" customHeight="1" outlineLevel="1" x14ac:dyDescent="0.25">
      <c r="F50" s="174"/>
    </row>
    <row r="51" spans="1:9" ht="15" hidden="1" customHeight="1" outlineLevel="1" x14ac:dyDescent="0.25">
      <c r="A51" s="101" t="s">
        <v>158</v>
      </c>
      <c r="B51" s="10"/>
      <c r="C51" s="10"/>
      <c r="D51" s="10"/>
      <c r="E51" s="10"/>
      <c r="F51" s="10"/>
      <c r="G51" s="10"/>
      <c r="H51" s="10"/>
      <c r="I51" s="10"/>
    </row>
    <row r="52" spans="1:9" ht="15" hidden="1" customHeight="1" outlineLevel="1" x14ac:dyDescent="0.25">
      <c r="A52" s="126" t="s">
        <v>159</v>
      </c>
      <c r="B52" s="126" t="s">
        <v>160</v>
      </c>
      <c r="C52" s="102" t="s">
        <v>156</v>
      </c>
      <c r="D52" s="102" t="s">
        <v>165</v>
      </c>
      <c r="E52" s="102" t="s">
        <v>12</v>
      </c>
      <c r="F52" s="126" t="s">
        <v>11</v>
      </c>
      <c r="G52" s="126" t="s">
        <v>162</v>
      </c>
      <c r="H52" s="126" t="s">
        <v>163</v>
      </c>
      <c r="I52" s="126" t="s">
        <v>164</v>
      </c>
    </row>
    <row r="53" spans="1:9" ht="15" hidden="1" customHeight="1" outlineLevel="1" x14ac:dyDescent="0.25">
      <c r="A53" s="117" t="s">
        <v>51</v>
      </c>
      <c r="B53" s="112"/>
      <c r="C53" s="114"/>
      <c r="D53" s="114"/>
      <c r="E53" s="115">
        <f t="shared" ref="E53:E62" si="3">IF(A53="PI, Summer",$F$2*3,IF(A53="PI, Academic",$F$2,IF(A53="Co-PI, Summer",0,IF(A53="Co-PI, Academic",0,IF(A53="Undergraduate RA",4000,IF(A53="Research Assistant",27000,IF(A53="Research Assistant, Academic",20250,IF(A53="Research Assistant, Summer",6750,IF(A53="Research Associate, Summer",0,IF(A53="Research Associaemic",0,IF(A53="Postdoctoral Associate",38496,0)))))))))))</f>
        <v>0</v>
      </c>
      <c r="F53" s="116"/>
      <c r="G53" s="113"/>
      <c r="H53" s="113"/>
      <c r="I53">
        <f t="shared" ref="I53:I62" si="4">G53+H53</f>
        <v>0</v>
      </c>
    </row>
    <row r="54" spans="1:9" ht="15" hidden="1" customHeight="1" outlineLevel="1" x14ac:dyDescent="0.25">
      <c r="A54" s="117" t="s">
        <v>51</v>
      </c>
      <c r="B54" s="112"/>
      <c r="C54" s="114"/>
      <c r="D54" s="114"/>
      <c r="E54" s="115">
        <f t="shared" si="3"/>
        <v>0</v>
      </c>
      <c r="F54" s="116"/>
      <c r="G54" s="113"/>
      <c r="H54" s="113"/>
      <c r="I54">
        <f t="shared" si="4"/>
        <v>0</v>
      </c>
    </row>
    <row r="55" spans="1:9" ht="15" hidden="1" customHeight="1" outlineLevel="1" x14ac:dyDescent="0.25">
      <c r="A55" s="117" t="s">
        <v>51</v>
      </c>
      <c r="B55" s="112"/>
      <c r="C55" s="114"/>
      <c r="D55" s="114"/>
      <c r="E55" s="115">
        <f t="shared" si="3"/>
        <v>0</v>
      </c>
      <c r="F55" s="116"/>
      <c r="G55" s="113"/>
      <c r="H55" s="113"/>
      <c r="I55">
        <f t="shared" si="4"/>
        <v>0</v>
      </c>
    </row>
    <row r="56" spans="1:9" ht="15" hidden="1" customHeight="1" outlineLevel="1" x14ac:dyDescent="0.25">
      <c r="A56" s="117" t="s">
        <v>51</v>
      </c>
      <c r="B56" s="112"/>
      <c r="C56" s="114"/>
      <c r="D56" s="114"/>
      <c r="E56" s="115">
        <f t="shared" si="3"/>
        <v>0</v>
      </c>
      <c r="F56" s="116"/>
      <c r="G56" s="113"/>
      <c r="H56" s="113"/>
      <c r="I56">
        <f t="shared" si="4"/>
        <v>0</v>
      </c>
    </row>
    <row r="57" spans="1:9" ht="15" hidden="1" customHeight="1" outlineLevel="1" x14ac:dyDescent="0.25">
      <c r="A57" s="117" t="s">
        <v>51</v>
      </c>
      <c r="B57" s="112"/>
      <c r="C57" s="114"/>
      <c r="D57" s="114"/>
      <c r="E57" s="115">
        <f t="shared" si="3"/>
        <v>0</v>
      </c>
      <c r="F57" s="116"/>
      <c r="G57" s="113"/>
      <c r="H57" s="113"/>
      <c r="I57">
        <f t="shared" si="4"/>
        <v>0</v>
      </c>
    </row>
    <row r="58" spans="1:9" ht="15" hidden="1" customHeight="1" outlineLevel="1" x14ac:dyDescent="0.25">
      <c r="A58" s="117" t="s">
        <v>51</v>
      </c>
      <c r="B58" s="112"/>
      <c r="C58" s="114"/>
      <c r="D58" s="114"/>
      <c r="E58" s="115">
        <f t="shared" si="3"/>
        <v>0</v>
      </c>
      <c r="F58" s="116"/>
      <c r="G58" s="113"/>
      <c r="H58" s="113"/>
      <c r="I58">
        <f t="shared" si="4"/>
        <v>0</v>
      </c>
    </row>
    <row r="59" spans="1:9" ht="15" hidden="1" customHeight="1" outlineLevel="1" x14ac:dyDescent="0.25">
      <c r="A59" s="117" t="s">
        <v>51</v>
      </c>
      <c r="B59" s="113"/>
      <c r="C59" s="114"/>
      <c r="D59" s="114"/>
      <c r="E59" s="115">
        <f t="shared" si="3"/>
        <v>0</v>
      </c>
      <c r="F59" s="116"/>
      <c r="G59" s="113"/>
      <c r="H59" s="113"/>
      <c r="I59">
        <f t="shared" si="4"/>
        <v>0</v>
      </c>
    </row>
    <row r="60" spans="1:9" ht="15" hidden="1" customHeight="1" outlineLevel="1" x14ac:dyDescent="0.25">
      <c r="A60" s="117" t="s">
        <v>51</v>
      </c>
      <c r="B60" s="113"/>
      <c r="C60" s="114"/>
      <c r="D60" s="114"/>
      <c r="E60" s="115">
        <f t="shared" si="3"/>
        <v>0</v>
      </c>
      <c r="F60" s="116"/>
      <c r="G60" s="113"/>
      <c r="H60" s="113"/>
      <c r="I60">
        <f t="shared" si="4"/>
        <v>0</v>
      </c>
    </row>
    <row r="61" spans="1:9" ht="15" hidden="1" customHeight="1" outlineLevel="1" x14ac:dyDescent="0.25">
      <c r="A61" s="117" t="s">
        <v>51</v>
      </c>
      <c r="B61" s="113"/>
      <c r="C61" s="114"/>
      <c r="D61" s="114"/>
      <c r="E61" s="115">
        <f t="shared" si="3"/>
        <v>0</v>
      </c>
      <c r="F61" s="116"/>
      <c r="G61" s="113"/>
      <c r="H61" s="113"/>
      <c r="I61">
        <f t="shared" si="4"/>
        <v>0</v>
      </c>
    </row>
    <row r="62" spans="1:9" ht="15" hidden="1" customHeight="1" outlineLevel="1" x14ac:dyDescent="0.25">
      <c r="A62" s="117" t="s">
        <v>51</v>
      </c>
      <c r="B62" s="113"/>
      <c r="C62" s="114"/>
      <c r="D62" s="114"/>
      <c r="E62" s="115">
        <f t="shared" si="3"/>
        <v>0</v>
      </c>
      <c r="F62" s="116"/>
      <c r="G62" s="113"/>
      <c r="H62" s="113"/>
      <c r="I62">
        <f t="shared" si="4"/>
        <v>0</v>
      </c>
    </row>
    <row r="63" spans="1:9" ht="15" hidden="1" customHeight="1" outlineLevel="1" x14ac:dyDescent="0.25">
      <c r="B63" s="109"/>
    </row>
    <row r="64" spans="1:9" ht="15" hidden="1" customHeight="1" outlineLevel="1" x14ac:dyDescent="0.25">
      <c r="A64" s="76" t="s">
        <v>179</v>
      </c>
      <c r="B64" s="34"/>
      <c r="C64" s="34"/>
      <c r="D64" s="34"/>
      <c r="E64" s="34"/>
      <c r="F64" s="34"/>
      <c r="G64" s="34"/>
      <c r="H64" s="34"/>
      <c r="I64" s="34"/>
    </row>
    <row r="65" spans="1:9" ht="15" hidden="1" customHeight="1" outlineLevel="1" x14ac:dyDescent="0.25">
      <c r="A65" s="120" t="s">
        <v>180</v>
      </c>
      <c r="B65" s="120" t="s">
        <v>3</v>
      </c>
      <c r="C65" s="121" t="s">
        <v>4</v>
      </c>
      <c r="D65" s="121" t="s">
        <v>147</v>
      </c>
      <c r="E65" s="121" t="s">
        <v>151</v>
      </c>
      <c r="F65" s="120" t="s">
        <v>152</v>
      </c>
      <c r="G65" s="120" t="s">
        <v>183</v>
      </c>
      <c r="H65" s="120"/>
      <c r="I65" s="120" t="s">
        <v>164</v>
      </c>
    </row>
    <row r="66" spans="1:9" ht="15" hidden="1" customHeight="1" outlineLevel="1" x14ac:dyDescent="0.25">
      <c r="A66" s="118" t="s">
        <v>51</v>
      </c>
      <c r="B66" s="119">
        <v>0</v>
      </c>
      <c r="C66" s="119">
        <v>0</v>
      </c>
      <c r="D66" s="119">
        <v>0</v>
      </c>
      <c r="E66" s="149">
        <v>0</v>
      </c>
      <c r="F66" s="150">
        <v>0</v>
      </c>
      <c r="G66" s="222"/>
      <c r="H66" s="223"/>
      <c r="I66" s="3">
        <f t="shared" ref="I66" si="5">SUM(B66:F66)</f>
        <v>0</v>
      </c>
    </row>
    <row r="67" spans="1:9" ht="15" hidden="1" customHeight="1" outlineLevel="1" x14ac:dyDescent="0.25">
      <c r="A67" s="118" t="s">
        <v>51</v>
      </c>
      <c r="B67" s="119">
        <v>0</v>
      </c>
      <c r="C67" s="119">
        <v>0</v>
      </c>
      <c r="D67" s="119">
        <v>0</v>
      </c>
      <c r="E67" s="149">
        <v>0</v>
      </c>
      <c r="F67" s="150">
        <v>0</v>
      </c>
      <c r="G67" s="222"/>
      <c r="H67" s="223"/>
      <c r="I67" s="3">
        <f t="shared" ref="I67:I77" si="6">SUM(B67:F67)</f>
        <v>0</v>
      </c>
    </row>
    <row r="68" spans="1:9" ht="15" hidden="1" customHeight="1" outlineLevel="1" x14ac:dyDescent="0.25">
      <c r="A68" s="118" t="s">
        <v>51</v>
      </c>
      <c r="B68" s="119">
        <v>0</v>
      </c>
      <c r="C68" s="119">
        <v>0</v>
      </c>
      <c r="D68" s="119">
        <v>0</v>
      </c>
      <c r="E68" s="149">
        <v>0</v>
      </c>
      <c r="F68" s="150">
        <v>0</v>
      </c>
      <c r="G68" s="222"/>
      <c r="H68" s="223"/>
      <c r="I68" s="3">
        <f t="shared" si="6"/>
        <v>0</v>
      </c>
    </row>
    <row r="69" spans="1:9" ht="15" hidden="1" customHeight="1" outlineLevel="1" x14ac:dyDescent="0.25">
      <c r="A69" s="118" t="s">
        <v>51</v>
      </c>
      <c r="B69" s="119">
        <v>0</v>
      </c>
      <c r="C69" s="119">
        <v>0</v>
      </c>
      <c r="D69" s="119">
        <v>0</v>
      </c>
      <c r="E69" s="149">
        <v>0</v>
      </c>
      <c r="F69" s="150">
        <v>0</v>
      </c>
      <c r="G69" s="222"/>
      <c r="H69" s="223"/>
      <c r="I69" s="3">
        <f t="shared" si="6"/>
        <v>0</v>
      </c>
    </row>
    <row r="70" spans="1:9" ht="15" hidden="1" customHeight="1" outlineLevel="1" x14ac:dyDescent="0.25">
      <c r="A70" s="118" t="s">
        <v>51</v>
      </c>
      <c r="B70" s="119">
        <v>0</v>
      </c>
      <c r="C70" s="119">
        <v>0</v>
      </c>
      <c r="D70" s="119">
        <v>0</v>
      </c>
      <c r="E70" s="149">
        <v>0</v>
      </c>
      <c r="F70" s="150">
        <v>0</v>
      </c>
      <c r="G70" s="222"/>
      <c r="H70" s="223"/>
      <c r="I70" s="3">
        <f t="shared" si="6"/>
        <v>0</v>
      </c>
    </row>
    <row r="71" spans="1:9" ht="15" hidden="1" customHeight="1" outlineLevel="1" x14ac:dyDescent="0.25">
      <c r="A71" s="118" t="s">
        <v>51</v>
      </c>
      <c r="B71" s="119">
        <v>0</v>
      </c>
      <c r="C71" s="119">
        <v>0</v>
      </c>
      <c r="D71" s="119">
        <v>0</v>
      </c>
      <c r="E71" s="149">
        <v>0</v>
      </c>
      <c r="F71" s="150">
        <v>0</v>
      </c>
      <c r="G71" s="222"/>
      <c r="H71" s="223"/>
      <c r="I71" s="3">
        <f t="shared" si="6"/>
        <v>0</v>
      </c>
    </row>
    <row r="72" spans="1:9" ht="15" hidden="1" customHeight="1" outlineLevel="1" x14ac:dyDescent="0.25">
      <c r="A72" s="118" t="s">
        <v>51</v>
      </c>
      <c r="B72" s="119">
        <v>0</v>
      </c>
      <c r="C72" s="119">
        <v>0</v>
      </c>
      <c r="D72" s="119">
        <v>0</v>
      </c>
      <c r="E72" s="149">
        <v>0</v>
      </c>
      <c r="F72" s="150">
        <v>0</v>
      </c>
      <c r="G72" s="222"/>
      <c r="H72" s="223"/>
      <c r="I72" s="3">
        <f t="shared" si="6"/>
        <v>0</v>
      </c>
    </row>
    <row r="73" spans="1:9" ht="15" hidden="1" customHeight="1" outlineLevel="1" x14ac:dyDescent="0.25">
      <c r="A73" s="118" t="s">
        <v>51</v>
      </c>
      <c r="B73" s="119">
        <v>0</v>
      </c>
      <c r="C73" s="119">
        <v>0</v>
      </c>
      <c r="D73" s="119">
        <v>0</v>
      </c>
      <c r="E73" s="149">
        <v>0</v>
      </c>
      <c r="F73" s="150">
        <v>0</v>
      </c>
      <c r="G73" s="222"/>
      <c r="H73" s="223"/>
      <c r="I73" s="3">
        <f t="shared" si="6"/>
        <v>0</v>
      </c>
    </row>
    <row r="74" spans="1:9" ht="15" hidden="1" customHeight="1" outlineLevel="1" x14ac:dyDescent="0.25">
      <c r="A74" s="118" t="s">
        <v>51</v>
      </c>
      <c r="B74" s="119">
        <v>0</v>
      </c>
      <c r="C74" s="119">
        <v>0</v>
      </c>
      <c r="D74" s="119">
        <v>0</v>
      </c>
      <c r="E74" s="149">
        <v>0</v>
      </c>
      <c r="F74" s="150">
        <v>0</v>
      </c>
      <c r="G74" s="222"/>
      <c r="H74" s="223"/>
      <c r="I74" s="3">
        <f t="shared" si="6"/>
        <v>0</v>
      </c>
    </row>
    <row r="75" spans="1:9" ht="15" hidden="1" customHeight="1" outlineLevel="1" x14ac:dyDescent="0.25">
      <c r="A75" s="118" t="s">
        <v>51</v>
      </c>
      <c r="B75" s="119">
        <v>0</v>
      </c>
      <c r="C75" s="119">
        <v>0</v>
      </c>
      <c r="D75" s="119">
        <v>0</v>
      </c>
      <c r="E75" s="149">
        <v>0</v>
      </c>
      <c r="F75" s="150">
        <v>0</v>
      </c>
      <c r="G75" s="222"/>
      <c r="H75" s="223"/>
      <c r="I75" s="3">
        <f t="shared" si="6"/>
        <v>0</v>
      </c>
    </row>
    <row r="76" spans="1:9" ht="15" hidden="1" customHeight="1" outlineLevel="1" x14ac:dyDescent="0.25">
      <c r="A76" s="118" t="s">
        <v>51</v>
      </c>
      <c r="B76" s="119">
        <v>0</v>
      </c>
      <c r="C76" s="119">
        <v>0</v>
      </c>
      <c r="D76" s="119">
        <v>0</v>
      </c>
      <c r="E76" s="149">
        <v>0</v>
      </c>
      <c r="F76" s="150">
        <v>0</v>
      </c>
      <c r="G76" s="222"/>
      <c r="H76" s="223"/>
      <c r="I76" s="3">
        <f t="shared" si="6"/>
        <v>0</v>
      </c>
    </row>
    <row r="77" spans="1:9" ht="15" hidden="1" customHeight="1" outlineLevel="1" x14ac:dyDescent="0.25">
      <c r="A77" s="118" t="s">
        <v>51</v>
      </c>
      <c r="B77" s="119">
        <v>0</v>
      </c>
      <c r="C77" s="119">
        <v>0</v>
      </c>
      <c r="D77" s="119">
        <v>0</v>
      </c>
      <c r="E77" s="149">
        <v>0</v>
      </c>
      <c r="F77" s="150">
        <v>0</v>
      </c>
      <c r="G77" s="222"/>
      <c r="H77" s="223"/>
      <c r="I77" s="3">
        <f t="shared" si="6"/>
        <v>0</v>
      </c>
    </row>
    <row r="78" spans="1:9" ht="15" hidden="1" customHeight="1" outlineLevel="1" x14ac:dyDescent="0.25">
      <c r="B78" s="109"/>
      <c r="G78" s="221"/>
      <c r="H78" s="221"/>
    </row>
    <row r="79" spans="1:9" ht="15" hidden="1" customHeight="1" outlineLevel="1" x14ac:dyDescent="0.25">
      <c r="A79" s="75" t="s">
        <v>55</v>
      </c>
      <c r="B79" s="63"/>
      <c r="C79" s="63"/>
      <c r="D79" s="63"/>
      <c r="E79" s="64"/>
      <c r="F79" s="63"/>
      <c r="G79" s="63"/>
      <c r="H79" s="64"/>
      <c r="I79" s="63"/>
    </row>
    <row r="80" spans="1:9" ht="15" hidden="1" customHeight="1" outlineLevel="1" x14ac:dyDescent="0.25">
      <c r="A80" s="1" t="s">
        <v>45</v>
      </c>
      <c r="B80" s="167">
        <v>0.53500000000000003</v>
      </c>
    </row>
    <row r="81" spans="1:9" ht="15" hidden="1" customHeight="1" outlineLevel="1" x14ac:dyDescent="0.25">
      <c r="A81" s="1" t="s">
        <v>227</v>
      </c>
      <c r="B81" s="78"/>
      <c r="E81" s="1" t="s">
        <v>228</v>
      </c>
      <c r="F81" s="78"/>
      <c r="H81" s="1" t="s">
        <v>229</v>
      </c>
      <c r="I81" s="78"/>
    </row>
    <row r="82" spans="1:9" ht="15" hidden="1" customHeight="1" outlineLevel="1" x14ac:dyDescent="0.25">
      <c r="A82" s="1" t="s">
        <v>49</v>
      </c>
      <c r="B82" s="77" t="s">
        <v>53</v>
      </c>
      <c r="E82" s="1" t="s">
        <v>136</v>
      </c>
      <c r="F82" s="78"/>
      <c r="H82" s="1" t="s">
        <v>137</v>
      </c>
      <c r="I82" s="78"/>
    </row>
    <row r="83" spans="1:9" ht="15" hidden="1" customHeight="1" outlineLevel="1" x14ac:dyDescent="0.25">
      <c r="A83" s="1" t="s">
        <v>50</v>
      </c>
      <c r="B83" s="77" t="s">
        <v>53</v>
      </c>
      <c r="E83" s="1" t="s">
        <v>136</v>
      </c>
      <c r="F83" s="78"/>
      <c r="H83" s="1" t="s">
        <v>137</v>
      </c>
      <c r="I83" s="78"/>
    </row>
    <row r="84" spans="1:9" ht="15" hidden="1" customHeight="1" outlineLevel="1" x14ac:dyDescent="0.25">
      <c r="A84" s="1" t="s">
        <v>138</v>
      </c>
      <c r="B84" s="77" t="s">
        <v>53</v>
      </c>
      <c r="E84" s="1" t="s">
        <v>136</v>
      </c>
      <c r="F84" s="78"/>
      <c r="H84" s="1" t="s">
        <v>137</v>
      </c>
      <c r="I84" s="78"/>
    </row>
    <row r="85" spans="1:9" collapsed="1" x14ac:dyDescent="0.25"/>
    <row r="86" spans="1:9" ht="15" hidden="1" customHeight="1" outlineLevel="1" x14ac:dyDescent="0.25">
      <c r="A86" s="74" t="s">
        <v>47</v>
      </c>
      <c r="B86" s="49"/>
      <c r="C86" s="49"/>
      <c r="D86" s="49"/>
      <c r="E86" s="50"/>
      <c r="F86" s="49"/>
      <c r="G86" s="49"/>
      <c r="H86" s="50"/>
      <c r="I86" s="49"/>
    </row>
    <row r="87" spans="1:9" ht="15" hidden="1" customHeight="1" outlineLevel="1" x14ac:dyDescent="0.25">
      <c r="A87" s="1" t="s">
        <v>44</v>
      </c>
      <c r="B87" s="47"/>
      <c r="E87" s="1" t="s">
        <v>161</v>
      </c>
      <c r="F87" s="103"/>
    </row>
    <row r="88" spans="1:9" ht="15" hidden="1" customHeight="1" outlineLevel="1" x14ac:dyDescent="0.25">
      <c r="A88" s="1" t="s">
        <v>225</v>
      </c>
      <c r="B88" s="47"/>
      <c r="F88" s="80"/>
      <c r="I88" s="80"/>
    </row>
    <row r="89" spans="1:9" ht="15" hidden="1" customHeight="1" outlineLevel="1" x14ac:dyDescent="0.25">
      <c r="A89" s="1" t="s">
        <v>226</v>
      </c>
      <c r="B89" s="173"/>
      <c r="F89" s="79"/>
    </row>
    <row r="90" spans="1:9" ht="15" hidden="1" customHeight="1" outlineLevel="1" x14ac:dyDescent="0.25">
      <c r="F90" s="174"/>
    </row>
    <row r="91" spans="1:9" ht="15" hidden="1" customHeight="1" outlineLevel="1" x14ac:dyDescent="0.25">
      <c r="A91" s="101" t="s">
        <v>158</v>
      </c>
      <c r="B91" s="10"/>
      <c r="C91" s="10"/>
      <c r="D91" s="10"/>
      <c r="E91" s="10"/>
      <c r="F91" s="10"/>
      <c r="G91" s="10"/>
      <c r="H91" s="10"/>
      <c r="I91" s="10"/>
    </row>
    <row r="92" spans="1:9" ht="15" hidden="1" customHeight="1" outlineLevel="1" x14ac:dyDescent="0.25">
      <c r="A92" s="126" t="s">
        <v>159</v>
      </c>
      <c r="B92" s="126" t="s">
        <v>160</v>
      </c>
      <c r="C92" s="102" t="s">
        <v>156</v>
      </c>
      <c r="D92" s="102" t="s">
        <v>165</v>
      </c>
      <c r="E92" s="102" t="s">
        <v>12</v>
      </c>
      <c r="F92" s="126" t="s">
        <v>11</v>
      </c>
      <c r="G92" s="126" t="s">
        <v>162</v>
      </c>
      <c r="H92" s="126" t="s">
        <v>163</v>
      </c>
      <c r="I92" s="126" t="s">
        <v>164</v>
      </c>
    </row>
    <row r="93" spans="1:9" ht="15" hidden="1" customHeight="1" outlineLevel="1" x14ac:dyDescent="0.25">
      <c r="A93" s="117" t="s">
        <v>51</v>
      </c>
      <c r="B93" s="112"/>
      <c r="C93" s="114"/>
      <c r="D93" s="175"/>
      <c r="E93" s="177">
        <f t="shared" ref="E93:E102" si="7">IF(A93="PI, Summer",$F$2*3,IF(A93="PI, Academic",$F$2,IF(A93="Co-PI, Summer",0,IF(A93="Co-PI, Academic",0,IF(A93="Undergraduate RA",4000,IF(A93="Research Assistant",27000,IF(A93="Research Assistant, Academic",20250,IF(A93="Research Assistant, Summer",6750,IF(A93="Research Associate, Summer",0,IF(A93="Research Associaemic",0,IF(A93="Postdoctoral Associate",38496,0)))))))))))</f>
        <v>0</v>
      </c>
      <c r="F93" s="176"/>
      <c r="G93" s="113"/>
      <c r="H93" s="113"/>
      <c r="I93">
        <f t="shared" ref="I93:I102" si="8">G93+H93</f>
        <v>0</v>
      </c>
    </row>
    <row r="94" spans="1:9" ht="15" hidden="1" customHeight="1" outlineLevel="1" x14ac:dyDescent="0.25">
      <c r="A94" s="117" t="s">
        <v>51</v>
      </c>
      <c r="B94" s="112"/>
      <c r="C94" s="114"/>
      <c r="D94" s="175"/>
      <c r="E94" s="177">
        <f t="shared" si="7"/>
        <v>0</v>
      </c>
      <c r="F94" s="176"/>
      <c r="G94" s="113"/>
      <c r="H94" s="113"/>
      <c r="I94">
        <f t="shared" si="8"/>
        <v>0</v>
      </c>
    </row>
    <row r="95" spans="1:9" ht="15" hidden="1" customHeight="1" outlineLevel="1" x14ac:dyDescent="0.25">
      <c r="A95" s="117" t="s">
        <v>51</v>
      </c>
      <c r="B95" s="112"/>
      <c r="C95" s="114"/>
      <c r="D95" s="175"/>
      <c r="E95" s="177">
        <f t="shared" si="7"/>
        <v>0</v>
      </c>
      <c r="F95" s="176"/>
      <c r="G95" s="113"/>
      <c r="H95" s="113"/>
      <c r="I95">
        <f t="shared" si="8"/>
        <v>0</v>
      </c>
    </row>
    <row r="96" spans="1:9" ht="15" hidden="1" customHeight="1" outlineLevel="1" x14ac:dyDescent="0.25">
      <c r="A96" s="117" t="s">
        <v>51</v>
      </c>
      <c r="B96" s="112"/>
      <c r="C96" s="114"/>
      <c r="D96" s="175"/>
      <c r="E96" s="177">
        <f t="shared" si="7"/>
        <v>0</v>
      </c>
      <c r="F96" s="176"/>
      <c r="G96" s="113"/>
      <c r="H96" s="113"/>
      <c r="I96">
        <f t="shared" si="8"/>
        <v>0</v>
      </c>
    </row>
    <row r="97" spans="1:9" ht="15" hidden="1" customHeight="1" outlineLevel="1" x14ac:dyDescent="0.25">
      <c r="A97" s="117" t="s">
        <v>51</v>
      </c>
      <c r="B97" s="112"/>
      <c r="C97" s="114"/>
      <c r="D97" s="175"/>
      <c r="E97" s="177">
        <f t="shared" si="7"/>
        <v>0</v>
      </c>
      <c r="F97" s="176"/>
      <c r="G97" s="113"/>
      <c r="H97" s="113"/>
      <c r="I97">
        <f t="shared" si="8"/>
        <v>0</v>
      </c>
    </row>
    <row r="98" spans="1:9" ht="15" hidden="1" customHeight="1" outlineLevel="1" x14ac:dyDescent="0.25">
      <c r="A98" s="117" t="s">
        <v>51</v>
      </c>
      <c r="B98" s="112"/>
      <c r="C98" s="114"/>
      <c r="D98" s="175"/>
      <c r="E98" s="177">
        <f t="shared" si="7"/>
        <v>0</v>
      </c>
      <c r="F98" s="176"/>
      <c r="G98" s="113"/>
      <c r="H98" s="113"/>
      <c r="I98">
        <f t="shared" si="8"/>
        <v>0</v>
      </c>
    </row>
    <row r="99" spans="1:9" ht="15" hidden="1" customHeight="1" outlineLevel="1" x14ac:dyDescent="0.25">
      <c r="A99" s="117" t="s">
        <v>51</v>
      </c>
      <c r="B99" s="113"/>
      <c r="C99" s="114"/>
      <c r="D99" s="175"/>
      <c r="E99" s="177">
        <f t="shared" si="7"/>
        <v>0</v>
      </c>
      <c r="F99" s="176"/>
      <c r="G99" s="113"/>
      <c r="H99" s="113"/>
      <c r="I99">
        <f t="shared" si="8"/>
        <v>0</v>
      </c>
    </row>
    <row r="100" spans="1:9" ht="15" hidden="1" customHeight="1" outlineLevel="1" x14ac:dyDescent="0.25">
      <c r="A100" s="117" t="s">
        <v>51</v>
      </c>
      <c r="B100" s="113"/>
      <c r="C100" s="114"/>
      <c r="D100" s="175"/>
      <c r="E100" s="177">
        <f t="shared" si="7"/>
        <v>0</v>
      </c>
      <c r="F100" s="176"/>
      <c r="G100" s="113"/>
      <c r="H100" s="113"/>
      <c r="I100">
        <f t="shared" si="8"/>
        <v>0</v>
      </c>
    </row>
    <row r="101" spans="1:9" ht="15" hidden="1" customHeight="1" outlineLevel="1" x14ac:dyDescent="0.25">
      <c r="A101" s="117" t="s">
        <v>51</v>
      </c>
      <c r="B101" s="113"/>
      <c r="C101" s="114"/>
      <c r="D101" s="175"/>
      <c r="E101" s="177">
        <f t="shared" si="7"/>
        <v>0</v>
      </c>
      <c r="F101" s="176"/>
      <c r="G101" s="113"/>
      <c r="H101" s="113"/>
      <c r="I101">
        <f t="shared" si="8"/>
        <v>0</v>
      </c>
    </row>
    <row r="102" spans="1:9" ht="15" hidden="1" customHeight="1" outlineLevel="1" x14ac:dyDescent="0.25">
      <c r="A102" s="117" t="s">
        <v>51</v>
      </c>
      <c r="B102" s="113"/>
      <c r="C102" s="114"/>
      <c r="D102" s="175"/>
      <c r="E102" s="177">
        <f t="shared" si="7"/>
        <v>0</v>
      </c>
      <c r="F102" s="176"/>
      <c r="G102" s="113"/>
      <c r="H102" s="113"/>
      <c r="I102">
        <f t="shared" si="8"/>
        <v>0</v>
      </c>
    </row>
    <row r="103" spans="1:9" ht="15" hidden="1" customHeight="1" outlineLevel="1" x14ac:dyDescent="0.25">
      <c r="B103" s="109"/>
    </row>
    <row r="104" spans="1:9" ht="15" hidden="1" customHeight="1" outlineLevel="1" x14ac:dyDescent="0.25">
      <c r="A104" s="76" t="s">
        <v>179</v>
      </c>
      <c r="B104" s="34"/>
      <c r="C104" s="34"/>
      <c r="D104" s="34"/>
      <c r="E104" s="34"/>
      <c r="F104" s="34"/>
      <c r="G104" s="34"/>
      <c r="H104" s="34"/>
      <c r="I104" s="34"/>
    </row>
    <row r="105" spans="1:9" ht="15" hidden="1" customHeight="1" outlineLevel="1" x14ac:dyDescent="0.25">
      <c r="A105" s="120" t="s">
        <v>180</v>
      </c>
      <c r="B105" s="120" t="s">
        <v>3</v>
      </c>
      <c r="C105" s="121" t="s">
        <v>4</v>
      </c>
      <c r="D105" s="121" t="s">
        <v>147</v>
      </c>
      <c r="E105" s="121" t="s">
        <v>151</v>
      </c>
      <c r="F105" s="120" t="s">
        <v>152</v>
      </c>
      <c r="G105" s="120" t="s">
        <v>183</v>
      </c>
      <c r="H105" s="120"/>
      <c r="I105" s="120" t="s">
        <v>164</v>
      </c>
    </row>
    <row r="106" spans="1:9" ht="15" hidden="1" customHeight="1" outlineLevel="1" x14ac:dyDescent="0.25">
      <c r="A106" s="118" t="s">
        <v>51</v>
      </c>
      <c r="B106" s="119">
        <v>0</v>
      </c>
      <c r="C106" s="119">
        <v>0</v>
      </c>
      <c r="D106" s="119">
        <v>0</v>
      </c>
      <c r="E106" s="150">
        <v>0</v>
      </c>
      <c r="F106" s="150">
        <v>0</v>
      </c>
      <c r="G106" s="222"/>
      <c r="H106" s="223"/>
      <c r="I106" s="3">
        <f t="shared" ref="I106:I117" si="9">SUM(B106:F106)</f>
        <v>0</v>
      </c>
    </row>
    <row r="107" spans="1:9" ht="15" hidden="1" customHeight="1" outlineLevel="1" x14ac:dyDescent="0.25">
      <c r="A107" s="118" t="s">
        <v>51</v>
      </c>
      <c r="B107" s="119">
        <v>0</v>
      </c>
      <c r="C107" s="119">
        <v>0</v>
      </c>
      <c r="D107" s="119">
        <v>0</v>
      </c>
      <c r="E107" s="150">
        <v>0</v>
      </c>
      <c r="F107" s="150">
        <v>0</v>
      </c>
      <c r="G107" s="222"/>
      <c r="H107" s="223"/>
      <c r="I107" s="3">
        <f t="shared" si="9"/>
        <v>0</v>
      </c>
    </row>
    <row r="108" spans="1:9" ht="15" hidden="1" customHeight="1" outlineLevel="1" x14ac:dyDescent="0.25">
      <c r="A108" s="118" t="s">
        <v>51</v>
      </c>
      <c r="B108" s="119">
        <v>0</v>
      </c>
      <c r="C108" s="119">
        <v>0</v>
      </c>
      <c r="D108" s="119">
        <v>0</v>
      </c>
      <c r="E108" s="150">
        <v>0</v>
      </c>
      <c r="F108" s="150">
        <v>0</v>
      </c>
      <c r="G108" s="222"/>
      <c r="H108" s="223"/>
      <c r="I108" s="3">
        <f t="shared" si="9"/>
        <v>0</v>
      </c>
    </row>
    <row r="109" spans="1:9" ht="15" hidden="1" customHeight="1" outlineLevel="1" x14ac:dyDescent="0.25">
      <c r="A109" s="118" t="s">
        <v>51</v>
      </c>
      <c r="B109" s="119">
        <v>0</v>
      </c>
      <c r="C109" s="119">
        <v>0</v>
      </c>
      <c r="D109" s="119">
        <v>0</v>
      </c>
      <c r="E109" s="150">
        <v>0</v>
      </c>
      <c r="F109" s="150">
        <v>0</v>
      </c>
      <c r="G109" s="222"/>
      <c r="H109" s="223"/>
      <c r="I109" s="3">
        <f t="shared" si="9"/>
        <v>0</v>
      </c>
    </row>
    <row r="110" spans="1:9" ht="15" hidden="1" customHeight="1" outlineLevel="1" x14ac:dyDescent="0.25">
      <c r="A110" s="118" t="s">
        <v>51</v>
      </c>
      <c r="B110" s="119">
        <v>0</v>
      </c>
      <c r="C110" s="119">
        <v>0</v>
      </c>
      <c r="D110" s="119">
        <v>0</v>
      </c>
      <c r="E110" s="150">
        <v>0</v>
      </c>
      <c r="F110" s="150">
        <v>0</v>
      </c>
      <c r="G110" s="222"/>
      <c r="H110" s="223"/>
      <c r="I110" s="3">
        <f t="shared" si="9"/>
        <v>0</v>
      </c>
    </row>
    <row r="111" spans="1:9" ht="15" hidden="1" customHeight="1" outlineLevel="1" x14ac:dyDescent="0.25">
      <c r="A111" s="118" t="s">
        <v>51</v>
      </c>
      <c r="B111" s="119">
        <v>0</v>
      </c>
      <c r="C111" s="119">
        <v>0</v>
      </c>
      <c r="D111" s="119">
        <v>0</v>
      </c>
      <c r="E111" s="150">
        <v>0</v>
      </c>
      <c r="F111" s="150">
        <v>0</v>
      </c>
      <c r="G111" s="222"/>
      <c r="H111" s="223"/>
      <c r="I111" s="3">
        <f t="shared" si="9"/>
        <v>0</v>
      </c>
    </row>
    <row r="112" spans="1:9" ht="15" hidden="1" customHeight="1" outlineLevel="1" x14ac:dyDescent="0.25">
      <c r="A112" s="118" t="s">
        <v>51</v>
      </c>
      <c r="B112" s="119">
        <v>0</v>
      </c>
      <c r="C112" s="119">
        <v>0</v>
      </c>
      <c r="D112" s="119">
        <v>0</v>
      </c>
      <c r="E112" s="150">
        <v>0</v>
      </c>
      <c r="F112" s="150">
        <v>0</v>
      </c>
      <c r="G112" s="222"/>
      <c r="H112" s="223"/>
      <c r="I112" s="3">
        <f t="shared" si="9"/>
        <v>0</v>
      </c>
    </row>
    <row r="113" spans="1:9" ht="15" hidden="1" customHeight="1" outlineLevel="1" x14ac:dyDescent="0.25">
      <c r="A113" s="118" t="s">
        <v>51</v>
      </c>
      <c r="B113" s="119">
        <v>0</v>
      </c>
      <c r="C113" s="119">
        <v>0</v>
      </c>
      <c r="D113" s="119">
        <v>0</v>
      </c>
      <c r="E113" s="150">
        <v>0</v>
      </c>
      <c r="F113" s="150">
        <v>0</v>
      </c>
      <c r="G113" s="222"/>
      <c r="H113" s="223"/>
      <c r="I113" s="3">
        <f t="shared" si="9"/>
        <v>0</v>
      </c>
    </row>
    <row r="114" spans="1:9" ht="15" hidden="1" customHeight="1" outlineLevel="1" x14ac:dyDescent="0.25">
      <c r="A114" s="118" t="s">
        <v>51</v>
      </c>
      <c r="B114" s="119">
        <v>0</v>
      </c>
      <c r="C114" s="119">
        <v>0</v>
      </c>
      <c r="D114" s="119">
        <v>0</v>
      </c>
      <c r="E114" s="150">
        <v>0</v>
      </c>
      <c r="F114" s="150">
        <v>0</v>
      </c>
      <c r="G114" s="222"/>
      <c r="H114" s="223"/>
      <c r="I114" s="3">
        <f t="shared" si="9"/>
        <v>0</v>
      </c>
    </row>
    <row r="115" spans="1:9" ht="15" hidden="1" customHeight="1" outlineLevel="1" x14ac:dyDescent="0.25">
      <c r="A115" s="118" t="s">
        <v>51</v>
      </c>
      <c r="B115" s="119">
        <v>0</v>
      </c>
      <c r="C115" s="119">
        <v>0</v>
      </c>
      <c r="D115" s="119">
        <v>0</v>
      </c>
      <c r="E115" s="150">
        <v>0</v>
      </c>
      <c r="F115" s="150">
        <v>0</v>
      </c>
      <c r="G115" s="222"/>
      <c r="H115" s="223"/>
      <c r="I115" s="3">
        <f t="shared" si="9"/>
        <v>0</v>
      </c>
    </row>
    <row r="116" spans="1:9" ht="15" hidden="1" customHeight="1" outlineLevel="1" x14ac:dyDescent="0.25">
      <c r="A116" s="118" t="s">
        <v>51</v>
      </c>
      <c r="B116" s="119">
        <v>0</v>
      </c>
      <c r="C116" s="119">
        <v>0</v>
      </c>
      <c r="D116" s="119">
        <v>0</v>
      </c>
      <c r="E116" s="150">
        <v>0</v>
      </c>
      <c r="F116" s="150">
        <v>0</v>
      </c>
      <c r="G116" s="222"/>
      <c r="H116" s="223"/>
      <c r="I116" s="3">
        <f t="shared" si="9"/>
        <v>0</v>
      </c>
    </row>
    <row r="117" spans="1:9" ht="15" hidden="1" customHeight="1" outlineLevel="1" x14ac:dyDescent="0.25">
      <c r="A117" s="118" t="s">
        <v>51</v>
      </c>
      <c r="B117" s="119">
        <v>0</v>
      </c>
      <c r="C117" s="119">
        <v>0</v>
      </c>
      <c r="D117" s="119">
        <v>0</v>
      </c>
      <c r="E117" s="150">
        <v>0</v>
      </c>
      <c r="F117" s="150">
        <v>0</v>
      </c>
      <c r="G117" s="222"/>
      <c r="H117" s="223"/>
      <c r="I117" s="3">
        <f t="shared" si="9"/>
        <v>0</v>
      </c>
    </row>
    <row r="118" spans="1:9" ht="15" hidden="1" customHeight="1" outlineLevel="1" x14ac:dyDescent="0.25">
      <c r="B118" s="109"/>
      <c r="G118" s="221"/>
      <c r="H118" s="221"/>
    </row>
    <row r="119" spans="1:9" ht="15" hidden="1" customHeight="1" outlineLevel="1" x14ac:dyDescent="0.25">
      <c r="A119" s="75" t="s">
        <v>55</v>
      </c>
      <c r="B119" s="63"/>
      <c r="C119" s="63"/>
      <c r="D119" s="63"/>
      <c r="E119" s="64"/>
      <c r="F119" s="63"/>
      <c r="G119" s="63"/>
      <c r="H119" s="64"/>
      <c r="I119" s="63"/>
    </row>
    <row r="120" spans="1:9" ht="15" hidden="1" customHeight="1" outlineLevel="1" x14ac:dyDescent="0.25">
      <c r="A120" s="1" t="s">
        <v>45</v>
      </c>
      <c r="B120" s="167">
        <v>0.53500000000000003</v>
      </c>
    </row>
    <row r="121" spans="1:9" ht="15" hidden="1" customHeight="1" outlineLevel="1" x14ac:dyDescent="0.25">
      <c r="A121" s="1" t="s">
        <v>227</v>
      </c>
      <c r="B121" s="78"/>
      <c r="E121" s="1" t="s">
        <v>228</v>
      </c>
      <c r="F121" s="78"/>
      <c r="H121" s="1" t="s">
        <v>229</v>
      </c>
      <c r="I121" s="78"/>
    </row>
    <row r="122" spans="1:9" ht="15" hidden="1" customHeight="1" outlineLevel="1" x14ac:dyDescent="0.25">
      <c r="A122" s="1" t="s">
        <v>49</v>
      </c>
      <c r="B122" s="77" t="s">
        <v>53</v>
      </c>
      <c r="E122" s="1" t="s">
        <v>136</v>
      </c>
      <c r="F122" s="78"/>
      <c r="H122" s="1" t="s">
        <v>137</v>
      </c>
      <c r="I122" s="78"/>
    </row>
    <row r="123" spans="1:9" ht="15" hidden="1" customHeight="1" outlineLevel="1" x14ac:dyDescent="0.25">
      <c r="A123" s="1" t="s">
        <v>50</v>
      </c>
      <c r="B123" s="77" t="s">
        <v>53</v>
      </c>
      <c r="E123" s="1" t="s">
        <v>136</v>
      </c>
      <c r="F123" s="78"/>
      <c r="H123" s="1" t="s">
        <v>137</v>
      </c>
      <c r="I123" s="78"/>
    </row>
    <row r="124" spans="1:9" ht="15" hidden="1" customHeight="1" outlineLevel="1" x14ac:dyDescent="0.25">
      <c r="A124" s="1" t="s">
        <v>138</v>
      </c>
      <c r="B124" s="77" t="s">
        <v>53</v>
      </c>
      <c r="E124" s="1" t="s">
        <v>136</v>
      </c>
      <c r="F124" s="78"/>
      <c r="H124" s="1" t="s">
        <v>137</v>
      </c>
      <c r="I124" s="78"/>
    </row>
    <row r="125" spans="1:9" collapsed="1" x14ac:dyDescent="0.25"/>
  </sheetData>
  <mergeCells count="39">
    <mergeCell ref="G116:H116"/>
    <mergeCell ref="G117:H117"/>
    <mergeCell ref="G118:H118"/>
    <mergeCell ref="G110:H110"/>
    <mergeCell ref="G111:H111"/>
    <mergeCell ref="G112:H112"/>
    <mergeCell ref="G113:H113"/>
    <mergeCell ref="G114:H114"/>
    <mergeCell ref="G115:H115"/>
    <mergeCell ref="G109:H109"/>
    <mergeCell ref="G71:H71"/>
    <mergeCell ref="G72:H72"/>
    <mergeCell ref="G73:H73"/>
    <mergeCell ref="G74:H74"/>
    <mergeCell ref="G75:H75"/>
    <mergeCell ref="G76:H76"/>
    <mergeCell ref="G77:H77"/>
    <mergeCell ref="G78:H78"/>
    <mergeCell ref="G106:H106"/>
    <mergeCell ref="G107:H107"/>
    <mergeCell ref="G108:H108"/>
    <mergeCell ref="G70:H70"/>
    <mergeCell ref="G31:H31"/>
    <mergeCell ref="G32:H32"/>
    <mergeCell ref="G33:H33"/>
    <mergeCell ref="G34:H34"/>
    <mergeCell ref="G35:H35"/>
    <mergeCell ref="G36:H36"/>
    <mergeCell ref="G37:H37"/>
    <mergeCell ref="G66:H66"/>
    <mergeCell ref="G67:H67"/>
    <mergeCell ref="G68:H68"/>
    <mergeCell ref="G69:H69"/>
    <mergeCell ref="G30:H30"/>
    <mergeCell ref="G25:H25"/>
    <mergeCell ref="G26:H26"/>
    <mergeCell ref="G27:H27"/>
    <mergeCell ref="G28:H28"/>
    <mergeCell ref="G29:H29"/>
  </mergeCells>
  <dataValidations count="13">
    <dataValidation allowBlank="1" showErrorMessage="1" promptTitle="Salary" prompt="The salary figure will auto-fill in.  Please feel free to override, however, the formula that calculates the salary automatically will be wiped out.  Current graduate student stipend is $27,000 and current NIH postdoc minimum is $38,496." sqref="E93:E102 E53:E62" xr:uid="{00000000-0002-0000-0100-000000000000}"/>
    <dataValidation type="list" allowBlank="1" sqref="B2" xr:uid="{00000000-0002-0000-0100-000001000000}">
      <formula1>$N$2:$N$17</formula1>
    </dataValidation>
    <dataValidation type="list" allowBlank="1" sqref="A13:A21 A53:A62 A93:A102" xr:uid="{00000000-0002-0000-0100-000002000000}">
      <formula1>$N$19:$N$30</formula1>
    </dataValidation>
    <dataValidation type="list" allowBlank="1" sqref="A25:A36 A66:A77 A106:A117" xr:uid="{00000000-0002-0000-0100-000003000000}">
      <formula1>$N$32:$N$43</formula1>
    </dataValidation>
    <dataValidation type="list" allowBlank="1" showInputMessage="1" promptTitle="Position" prompt="The position determines what fringe rate is used and what time frame the position is valid.  If the PI or Co-PI is a 12-month employee, (such as Georgios Kyriakou), please select &quot;Full Year&quot;.  If you are unsure, please ask." sqref="A12" xr:uid="{00000000-0002-0000-0100-000004000000}">
      <formula1>$N$19:$N$30</formula1>
    </dataValidation>
    <dataValidation allowBlank="1" sqref="G12:I21 G53:I62 G93:I102" xr:uid="{00000000-0002-0000-0100-000005000000}"/>
    <dataValidation allowBlank="1" showInputMessage="1" showErrorMessage="1" promptTitle="End Date" prompt="Please enter a modified end date here.  If the position ends with the grant, please leave this field blank." sqref="D12" xr:uid="{00000000-0002-0000-0100-000006000000}"/>
    <dataValidation allowBlank="1" showInputMessage="1" showErrorMessage="1" promptTitle="Start Date" prompt="Please enter a modified start date here.  If the position starts with the grant, please leave this field blank." sqref="C12" xr:uid="{00000000-0002-0000-0100-000007000000}"/>
    <dataValidation allowBlank="1" showInputMessage="1" showErrorMessage="1" promptTitle="Amount" prompt="This is the number of individuals with the same position and criteria.  If you would like to change any of the criteria, please make a second row for the position." sqref="B12" xr:uid="{00000000-0002-0000-0100-000008000000}"/>
    <dataValidation allowBlank="1" showInputMessage="1" showErrorMessage="1" promptTitle="PI Effort" prompt="Please put PI effort at 100%, and use the summer months to the right to adjust PI summer salary, otherwise effort can be reduced separately from salary months.  These are not the same adjustments." sqref="F12" xr:uid="{00000000-0002-0000-0100-000009000000}"/>
    <dataValidation type="list" allowBlank="1" showInputMessage="1" showErrorMessage="1" sqref="I7" xr:uid="{00000000-0002-0000-0100-00000A000000}">
      <formula1>$M$8:$M$18</formula1>
    </dataValidation>
    <dataValidation type="list" allowBlank="1" errorTitle="Error" sqref="B40:B44 B7:B8 B20 F3 B61 B82:B84 B101 B122:B124" xr:uid="{00000000-0002-0000-0100-00000B000000}">
      <formula1>$M$2:$M$4</formula1>
    </dataValidation>
    <dataValidation allowBlank="1" showInputMessage="1" showErrorMessage="1" promptTitle="Salary" prompt="The salary figure will auto-fill in.  If you override the amount, click the Reset Salary button to reset the salary.  Current graduate student stipend is $27,500 and current NIH postdoc minimum is $39,264." sqref="E12:E21" xr:uid="{00000000-0002-0000-0100-00000C000000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Button 11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Button 12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Button 13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Button 1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Button 15">
              <controlPr defaultSize="0" print="0" autoFill="0" autoPict="0" macro="[0]!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Button 16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9" name="Button 17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0" name="Button 18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1" name="Button 19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2" name="Button 20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3" name="Button 2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4" name="Button 22">
              <controlPr defaultSize="0" print="0" autoFill="0" autoPict="0" macro="[0]!CreateUpdate.CreateUpdate">
                <anchor moveWithCells="1" sizeWithCells="1">
                  <from>
                    <xdr:col>1</xdr:col>
                    <xdr:colOff>9525</xdr:colOff>
                    <xdr:row>125</xdr:row>
                    <xdr:rowOff>28575</xdr:rowOff>
                  </from>
                  <to>
                    <xdr:col>3</xdr:col>
                    <xdr:colOff>28575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5" name="Button 23">
              <controlPr defaultSize="0" print="0" autoFill="0" autoPict="0" macro="[0]!ClearWarning">
                <anchor moveWithCells="1" sizeWithCells="1">
                  <from>
                    <xdr:col>4</xdr:col>
                    <xdr:colOff>9525</xdr:colOff>
                    <xdr:row>125</xdr:row>
                    <xdr:rowOff>0</xdr:rowOff>
                  </from>
                  <to>
                    <xdr:col>5</xdr:col>
                    <xdr:colOff>647700</xdr:colOff>
                    <xdr:row>126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6" name="Button 24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7" name="Button 25">
              <controlPr defaultSize="0" print="0" autoFill="0" autoPict="0" macro="[0]!ResetSalary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BW100"/>
  <sheetViews>
    <sheetView tabSelected="1" topLeftCell="C15" zoomScaleNormal="100" workbookViewId="0">
      <selection activeCell="BY69" sqref="BY69"/>
    </sheetView>
  </sheetViews>
  <sheetFormatPr defaultColWidth="9.140625" defaultRowHeight="15" outlineLevelRow="1" x14ac:dyDescent="0.25"/>
  <cols>
    <col min="1" max="1" width="5.85546875" hidden="1" customWidth="1"/>
    <col min="2" max="2" width="5.42578125" hidden="1" customWidth="1"/>
    <col min="3" max="3" width="15.85546875" bestFit="1" customWidth="1"/>
    <col min="4" max="4" width="14.85546875" customWidth="1"/>
    <col min="5" max="5" width="9.7109375" customWidth="1"/>
    <col min="6" max="6" width="16.85546875" customWidth="1"/>
    <col min="7" max="7" width="13.28515625" bestFit="1" customWidth="1"/>
    <col min="8" max="8" width="12.42578125" bestFit="1" customWidth="1"/>
    <col min="9" max="9" width="15" customWidth="1"/>
    <col min="10" max="10" width="13.85546875" bestFit="1" customWidth="1"/>
    <col min="11" max="11" width="13.85546875" customWidth="1"/>
    <col min="12" max="12" width="13.85546875" bestFit="1" customWidth="1"/>
    <col min="13" max="18" width="12.85546875" hidden="1" customWidth="1"/>
    <col min="19" max="19" width="10.42578125" hidden="1" customWidth="1"/>
    <col min="20" max="22" width="8.42578125" hidden="1" customWidth="1"/>
    <col min="23" max="29" width="10.42578125" hidden="1" customWidth="1"/>
    <col min="30" max="32" width="0" hidden="1" customWidth="1"/>
    <col min="33" max="33" width="11.140625" hidden="1" customWidth="1"/>
    <col min="34" max="39" width="10.42578125" hidden="1" customWidth="1"/>
    <col min="40" max="72" width="0" hidden="1" customWidth="1"/>
    <col min="73" max="73" width="13.85546875" customWidth="1"/>
    <col min="74" max="74" width="13.7109375" customWidth="1"/>
  </cols>
  <sheetData>
    <row r="1" spans="1:13" hidden="1" x14ac:dyDescent="0.25">
      <c r="C1" t="s">
        <v>98</v>
      </c>
      <c r="D1" t="s">
        <v>98</v>
      </c>
      <c r="G1" t="s">
        <v>98</v>
      </c>
      <c r="H1" t="s">
        <v>98</v>
      </c>
      <c r="I1" t="s">
        <v>98</v>
      </c>
    </row>
    <row r="2" spans="1:13" hidden="1" x14ac:dyDescent="0.25">
      <c r="C2" t="str">
        <f>"=FTS"</f>
        <v>=FTS</v>
      </c>
      <c r="D2" t="str">
        <f>"=FTA"</f>
        <v>=FTA</v>
      </c>
      <c r="G2" t="str">
        <f>"=PDA"</f>
        <v>=PDA</v>
      </c>
      <c r="H2" t="str">
        <f>"=PTG"</f>
        <v>=PTG</v>
      </c>
      <c r="I2" t="str">
        <f>"=PTU"</f>
        <v>=PTU</v>
      </c>
    </row>
    <row r="3" spans="1:13" hidden="1" x14ac:dyDescent="0.25">
      <c r="A3">
        <f>'Input Sheet'!F39</f>
        <v>0</v>
      </c>
      <c r="C3" s="1" t="s">
        <v>117</v>
      </c>
      <c r="D3">
        <f>'Input Sheet'!B3</f>
        <v>0</v>
      </c>
      <c r="I3" s="1" t="s">
        <v>118</v>
      </c>
      <c r="J3" t="str">
        <f>IF(ISBLANK('Input Sheet'!B4),"",'Input Sheet'!B4)</f>
        <v/>
      </c>
    </row>
    <row r="4" spans="1:13" hidden="1" x14ac:dyDescent="0.25">
      <c r="C4" s="1" t="s">
        <v>116</v>
      </c>
      <c r="D4" t="str">
        <f>'Input Sheet'!B2</f>
        <v>Select</v>
      </c>
    </row>
    <row r="5" spans="1:13" hidden="1" x14ac:dyDescent="0.25">
      <c r="C5" s="1"/>
    </row>
    <row r="6" spans="1:13" hidden="1" x14ac:dyDescent="0.25">
      <c r="C6" s="72" t="s">
        <v>134</v>
      </c>
      <c r="D6" s="70"/>
      <c r="E6" s="70"/>
      <c r="F6" s="70"/>
      <c r="G6" s="70"/>
      <c r="H6" s="70"/>
      <c r="I6" s="70"/>
      <c r="J6" s="70"/>
      <c r="K6" s="70"/>
      <c r="L6" s="70"/>
    </row>
    <row r="7" spans="1:13" hidden="1" x14ac:dyDescent="0.25">
      <c r="C7" s="66" t="s">
        <v>61</v>
      </c>
    </row>
    <row r="8" spans="1:13" hidden="1" x14ac:dyDescent="0.25">
      <c r="C8" s="67" t="e">
        <f>'Input Sheet'!#REF!</f>
        <v>#REF!</v>
      </c>
      <c r="D8" s="132">
        <f>L21</f>
        <v>253014.31573112003</v>
      </c>
      <c r="E8" s="132"/>
      <c r="F8" s="132"/>
      <c r="G8" s="133"/>
      <c r="H8" s="133"/>
      <c r="I8" s="133"/>
      <c r="J8" s="133"/>
      <c r="K8" s="133"/>
      <c r="L8" s="133"/>
    </row>
    <row r="9" spans="1:13" ht="15.75" hidden="1" thickBot="1" x14ac:dyDescent="0.3">
      <c r="C9" s="68" t="e">
        <f>IF(L21&lt;=C8,L21,"")</f>
        <v>#REF!</v>
      </c>
      <c r="D9" s="69" t="str">
        <f>IF(ISERROR(AND(($L$21-$C$8)/(#REF!-$C$8)&lt;=(1/10),($L$21-$C$8)/(#REF!-$C$8)&gt;(0))),"",IF(AND(($L$21-$C$8)/(#REF!-$C$8)&lt;=(1/10),($L$21-$C$8)/(#REF!-$C$8)&gt;(0)),$L$21,""))</f>
        <v/>
      </c>
      <c r="E9" s="69"/>
      <c r="F9" s="69"/>
      <c r="G9" s="69" t="str">
        <f>IF(ISERROR(AND(($L$21-$C$8)/(#REF!-$C$8)&lt;=(2/10),($L$21-$C$8)/(#REF!-$C$8)&gt;(1/10))),"",IF(AND(($L$21-$C$8)/(#REF!-$C$8)&lt;=(2/10),($L$21-$C$8)/(#REF!-$C$8)&gt;(1/10)),$L$21,""))</f>
        <v/>
      </c>
      <c r="H9" s="69" t="str">
        <f>IF(ISERROR(AND(($L$21-$C$8)/(#REF!-$C$8)&lt;=(3/10),($L$21-$C$8)/(#REF!-$C$8)&gt;(2/10))),"",IF(AND(($L$21-$C$8)/(#REF!-$C$8)&lt;=(3/10),($L$21-$C$8)/(#REF!-$C$8)&gt;(2/10)),$L$21,""))</f>
        <v/>
      </c>
      <c r="I9" s="69" t="str">
        <f>IF(ISERROR(AND(($L$21-$C$8)/(#REF!-$C$8)&lt;=(4/10),($L$21-$C$8)/(#REF!-$C$8)&gt;(3/10))),"",IF(AND(($L$21-$C$8)/(#REF!-$C$8)&lt;=(4/10),($L$21-$C$8)/(#REF!-$C$8)&gt;(3/10)),$L$21,""))</f>
        <v/>
      </c>
      <c r="J9" s="69" t="str">
        <f>IF(ISERROR(AND(($L$21-$C$8)/(#REF!-$C$8)&lt;=(5/10),($L$21-$C$8)/(#REF!-$C$8)&gt;(4/10))),"",IF(AND(($L$21-$C$8)/(#REF!-$C$8)&lt;=(5/10),($L$21-$C$8)/(#REF!-$C$8)&gt;(4/10)),$L$21,""))</f>
        <v/>
      </c>
      <c r="K9" s="69"/>
      <c r="L9" s="69" t="str">
        <f>IF(ISERROR(AND(($L$21-$C$8)/(#REF!-$C$8)&lt;=(7/10),($L$21-$C$8)/(#REF!-$C$8)&gt;(6/10))),"",IF(AND(($L$21-$C$8)/(#REF!-$C$8)&lt;=(7/10),($L$21-$C$8)/(#REF!-$C$8)&gt;(6/10)),$L$21,""))</f>
        <v/>
      </c>
    </row>
    <row r="10" spans="1:13" hidden="1" x14ac:dyDescent="0.25">
      <c r="C10" s="67"/>
      <c r="D10" s="3"/>
      <c r="E10" s="3"/>
      <c r="F10" s="3"/>
      <c r="G10" s="3"/>
      <c r="H10" s="3"/>
      <c r="I10" s="3"/>
      <c r="J10" s="3"/>
      <c r="K10" s="3"/>
      <c r="L10" s="3"/>
    </row>
    <row r="11" spans="1:13" hidden="1" x14ac:dyDescent="0.25">
      <c r="C11" s="73" t="s">
        <v>135</v>
      </c>
      <c r="D11" s="71"/>
      <c r="E11" s="71"/>
      <c r="F11" s="71"/>
      <c r="G11" s="71"/>
      <c r="H11" s="71"/>
      <c r="I11" s="71"/>
      <c r="J11" s="71"/>
      <c r="K11" s="71"/>
      <c r="L11" s="71"/>
    </row>
    <row r="12" spans="1:13" hidden="1" x14ac:dyDescent="0.25">
      <c r="C12" s="66" t="s">
        <v>61</v>
      </c>
    </row>
    <row r="13" spans="1:13" hidden="1" x14ac:dyDescent="0.25">
      <c r="C13" s="67">
        <f>'Input Sheet'!H18</f>
        <v>0</v>
      </c>
      <c r="D13" s="132">
        <f>L26</f>
        <v>0</v>
      </c>
      <c r="E13" s="132"/>
      <c r="F13" s="132"/>
      <c r="G13" s="133"/>
      <c r="H13" s="133"/>
      <c r="I13" s="133"/>
      <c r="J13" s="133"/>
      <c r="K13" s="133"/>
      <c r="L13" s="133"/>
    </row>
    <row r="14" spans="1:13" ht="15.75" hidden="1" thickBot="1" x14ac:dyDescent="0.3">
      <c r="C14" s="68" t="str">
        <f>IF(C13=0,"",IF(L26&lt;=C13,L26,""))</f>
        <v/>
      </c>
      <c r="D14" s="69" t="str">
        <f>IF(ISERROR(AND(($L$20-$C$13)/(#REF!-$C$13)&lt;=(1/10),($L$20-$C$13)/(#REF!-$C$13)&gt;(0))),"",IF(AND(($L$20-$C$13)/(#REF!-$C$13)&lt;=(1/10),($L$20-$C$13)/(#REF!-$C$13)&gt;(0)),$L$20,""))</f>
        <v/>
      </c>
      <c r="E14" s="69"/>
      <c r="F14" s="69"/>
      <c r="G14" s="69" t="str">
        <f>IF(ISERROR(AND(($L$20-$C$13)/(#REF!-$C$13)&lt;=(2/10),($L$20-$C$13)/(#REF!-$C$13)&gt;(1/10))),"",IF(AND(($L$20-$C$13)/(#REF!-$C$13)&lt;=(2/10),($L$20-$C$13)/(#REF!-$C$13)&gt;(1/10)),$L$20,""))</f>
        <v/>
      </c>
      <c r="H14" s="69" t="str">
        <f>IF(ISERROR(AND(($L$20-$C$13)/(#REF!-$C$13)&lt;=(3/10),($L$20-$C$13)/(#REF!-$C$13)&gt;(2/10))),"",IF(AND(($L$20-$C$13)/(#REF!-$C$13)&lt;=(3/10),($L$20-$C$13)/(#REF!-$C$13)&gt;(2/10)),$L$20,""))</f>
        <v/>
      </c>
      <c r="I14" s="69" t="str">
        <f>IF(ISERROR(AND(($L$20-$C$13)/(#REF!-$C$13)&lt;=(4/10),($L$20-$C$13)/(#REF!-$C$13)&gt;(3/10))),"",IF(AND(($L$20-$C$13)/(#REF!-$C$13)&lt;=(4/10),($L$20-$C$13)/(#REF!-$C$13)&gt;(3/10)),$L$20,""))</f>
        <v/>
      </c>
      <c r="J14" s="69" t="str">
        <f>IF(ISERROR(AND(($L$20-$C$13)/(#REF!-$C$13)&lt;=(5/10),($L$20-$C$13)/(#REF!-$C$13)&gt;(4/10))),"",IF(AND(($L$20-$C$13)/(#REF!-$C$13)&lt;=(5/10),($L$20-$C$13)/(#REF!-$C$13)&gt;(4/10)),$L$20,""))</f>
        <v/>
      </c>
      <c r="K14" s="69"/>
      <c r="L14" s="69" t="str">
        <f>IF(ISERROR(AND(($L$20-$C$13)/(#REF!-$C$13)&lt;=(7/10),($L$20-$C$13)/(#REF!-$C$13)&gt;(6/10))),"",IF(AND(($L$20-$C$13)/(#REF!-$C$13)&lt;=(7/10),($L$20-$C$13)/(#REF!-$C$13)&gt;(6/10)),$L$20,""))</f>
        <v/>
      </c>
    </row>
    <row r="15" spans="1:13" x14ac:dyDescent="0.25">
      <c r="C15" s="3"/>
      <c r="D15" s="3"/>
      <c r="E15" s="3"/>
      <c r="F15" s="3"/>
      <c r="G15" s="3"/>
      <c r="H15" s="3"/>
      <c r="I15" s="266" t="s">
        <v>249</v>
      </c>
      <c r="J15" s="266"/>
      <c r="K15" s="266"/>
      <c r="L15" s="266"/>
    </row>
    <row r="16" spans="1:13" x14ac:dyDescent="0.25">
      <c r="I16" s="21" t="s">
        <v>3</v>
      </c>
      <c r="J16" s="21" t="s">
        <v>4</v>
      </c>
      <c r="K16" s="21" t="s">
        <v>147</v>
      </c>
      <c r="L16" s="21" t="s">
        <v>5</v>
      </c>
      <c r="M16" s="2"/>
    </row>
    <row r="17" spans="1:75" x14ac:dyDescent="0.25">
      <c r="I17" s="4">
        <v>45108</v>
      </c>
      <c r="J17" s="4">
        <v>45474</v>
      </c>
      <c r="K17" s="4">
        <v>45839</v>
      </c>
      <c r="L17" s="4">
        <f>I17</f>
        <v>45108</v>
      </c>
      <c r="M17" s="110"/>
    </row>
    <row r="18" spans="1:75" x14ac:dyDescent="0.25">
      <c r="I18" s="4">
        <v>45473</v>
      </c>
      <c r="J18" s="4">
        <v>45838</v>
      </c>
      <c r="K18" s="4">
        <v>46203</v>
      </c>
      <c r="L18" s="4">
        <f>J18</f>
        <v>45838</v>
      </c>
      <c r="M18" s="3"/>
    </row>
    <row r="19" spans="1:75" ht="15" hidden="1" customHeight="1" x14ac:dyDescent="0.25">
      <c r="C19" s="75" t="s">
        <v>30</v>
      </c>
      <c r="D19" s="75"/>
      <c r="E19" s="75"/>
      <c r="F19" s="75"/>
      <c r="G19" s="75"/>
      <c r="H19" s="124"/>
      <c r="I19" s="23">
        <f>I73</f>
        <v>27943.864904000005</v>
      </c>
      <c r="J19" s="23">
        <f>J73</f>
        <v>20593.873651120004</v>
      </c>
      <c r="K19" s="23"/>
      <c r="L19" s="23">
        <f>SUM(I19:J19)</f>
        <v>48537.738555120013</v>
      </c>
    </row>
    <row r="20" spans="1:75" ht="15" hidden="1" customHeight="1" x14ac:dyDescent="0.25">
      <c r="C20" s="75" t="s">
        <v>24</v>
      </c>
      <c r="D20" s="75"/>
      <c r="E20" s="75"/>
      <c r="F20" s="75"/>
      <c r="G20" s="75"/>
      <c r="H20" s="124"/>
      <c r="I20" s="23">
        <f>I63</f>
        <v>111273.95920000001</v>
      </c>
      <c r="J20" s="23">
        <f>J63</f>
        <v>93202.617976000009</v>
      </c>
      <c r="K20" s="23"/>
      <c r="L20" s="23">
        <f>SUM(I20:J20)</f>
        <v>204476.57717600002</v>
      </c>
    </row>
    <row r="21" spans="1:75" ht="15" hidden="1" customHeight="1" x14ac:dyDescent="0.25">
      <c r="C21" s="75" t="s">
        <v>33</v>
      </c>
      <c r="D21" s="75"/>
      <c r="E21" s="75"/>
      <c r="F21" s="75"/>
      <c r="G21" s="75"/>
      <c r="H21" s="124"/>
      <c r="I21" s="23">
        <f>I19+I20</f>
        <v>139217.82410400003</v>
      </c>
      <c r="J21" s="23">
        <f>J19+J20</f>
        <v>113796.49162712001</v>
      </c>
      <c r="K21" s="23"/>
      <c r="L21" s="23">
        <f>SUM(I21:J21)</f>
        <v>253014.31573112003</v>
      </c>
    </row>
    <row r="22" spans="1:75" ht="15" hidden="1" customHeight="1" x14ac:dyDescent="0.25">
      <c r="C22" s="75" t="s">
        <v>139</v>
      </c>
      <c r="D22" s="75"/>
      <c r="E22" s="75"/>
      <c r="F22" s="75"/>
      <c r="G22" s="75"/>
      <c r="H22" s="75"/>
      <c r="I22" s="23" t="str">
        <f>IF('Input Sheet'!B20="Yes",IF(I20&gt;'Input Sheet'!H20,"Over-$"&amp;ROUND(I20-'Input Sheet'!H20,2),""),"")</f>
        <v/>
      </c>
      <c r="J22" s="23"/>
      <c r="K22" s="23"/>
      <c r="L22" s="23"/>
    </row>
    <row r="23" spans="1:75" ht="15" hidden="1" customHeight="1" x14ac:dyDescent="0.25">
      <c r="C23" s="1"/>
      <c r="D23" s="3"/>
      <c r="E23" s="3"/>
      <c r="F23" s="3"/>
      <c r="G23" s="3"/>
      <c r="H23" s="3"/>
    </row>
    <row r="24" spans="1:75" x14ac:dyDescent="0.25">
      <c r="N24" s="3"/>
      <c r="O24" s="3"/>
    </row>
    <row r="25" spans="1:75" outlineLevel="1" x14ac:dyDescent="0.25">
      <c r="A25" s="185"/>
      <c r="B25" s="185"/>
      <c r="C25" s="186" t="s">
        <v>6</v>
      </c>
      <c r="D25" s="186"/>
      <c r="E25" s="186"/>
      <c r="F25" s="186"/>
      <c r="G25" s="186"/>
      <c r="H25" s="186"/>
      <c r="I25" s="186"/>
      <c r="J25" s="187"/>
      <c r="K25" s="187"/>
      <c r="L25" s="188"/>
    </row>
    <row r="26" spans="1:75" outlineLevel="1" x14ac:dyDescent="0.25">
      <c r="C26" s="190" t="s">
        <v>9</v>
      </c>
      <c r="D26" s="189"/>
      <c r="E26" s="189"/>
      <c r="F26" s="189"/>
      <c r="G26" s="189"/>
      <c r="H26" s="189"/>
      <c r="I26" s="190"/>
      <c r="J26" s="189"/>
      <c r="K26" s="189"/>
      <c r="L26" s="189"/>
      <c r="M26" s="24" t="s">
        <v>184</v>
      </c>
      <c r="N26" s="151"/>
      <c r="O26" s="151"/>
      <c r="P26" s="24"/>
      <c r="Q26" s="24"/>
      <c r="R26" s="24"/>
      <c r="S26" s="24"/>
      <c r="T26" s="24"/>
      <c r="U26" s="24"/>
      <c r="V26" s="24"/>
      <c r="W26" t="s">
        <v>0</v>
      </c>
      <c r="AG26" t="s">
        <v>1</v>
      </c>
      <c r="AQ26" t="s">
        <v>2</v>
      </c>
    </row>
    <row r="27" spans="1:75" outlineLevel="1" x14ac:dyDescent="0.25">
      <c r="A27" t="s">
        <v>98</v>
      </c>
      <c r="C27" s="191" t="s">
        <v>16</v>
      </c>
      <c r="D27" s="192"/>
      <c r="E27" s="191"/>
      <c r="F27" s="191"/>
      <c r="G27" s="193"/>
      <c r="H27" s="194"/>
      <c r="I27" s="193" t="s">
        <v>3</v>
      </c>
      <c r="J27" s="193" t="s">
        <v>4</v>
      </c>
      <c r="K27" s="193" t="s">
        <v>147</v>
      </c>
      <c r="L27" s="193" t="s">
        <v>5</v>
      </c>
      <c r="M27" s="151" t="s">
        <v>3</v>
      </c>
      <c r="N27" s="151" t="s">
        <v>4</v>
      </c>
      <c r="O27" s="151" t="s">
        <v>147</v>
      </c>
      <c r="P27" s="151" t="s">
        <v>151</v>
      </c>
      <c r="Q27" s="151" t="s">
        <v>152</v>
      </c>
      <c r="R27" s="151" t="s">
        <v>169</v>
      </c>
      <c r="S27" s="151" t="s">
        <v>170</v>
      </c>
      <c r="T27" s="151" t="s">
        <v>171</v>
      </c>
      <c r="U27" s="151" t="s">
        <v>172</v>
      </c>
      <c r="V27" s="151" t="s">
        <v>173</v>
      </c>
      <c r="W27" s="151" t="s">
        <v>3</v>
      </c>
      <c r="X27" s="151" t="s">
        <v>4</v>
      </c>
      <c r="Y27" s="151" t="s">
        <v>147</v>
      </c>
      <c r="Z27" s="151" t="s">
        <v>151</v>
      </c>
      <c r="AA27" s="151" t="s">
        <v>152</v>
      </c>
      <c r="AB27" s="151" t="s">
        <v>169</v>
      </c>
      <c r="AC27" s="151" t="s">
        <v>170</v>
      </c>
      <c r="AD27" s="151" t="s">
        <v>171</v>
      </c>
      <c r="AE27" s="151" t="s">
        <v>172</v>
      </c>
      <c r="AF27" s="151" t="s">
        <v>173</v>
      </c>
      <c r="AG27" s="151" t="s">
        <v>3</v>
      </c>
      <c r="AH27" s="151" t="s">
        <v>4</v>
      </c>
      <c r="AI27" s="151" t="s">
        <v>147</v>
      </c>
      <c r="AJ27" s="151" t="s">
        <v>151</v>
      </c>
      <c r="AK27" s="151" t="s">
        <v>152</v>
      </c>
      <c r="AL27" s="151" t="s">
        <v>169</v>
      </c>
      <c r="AM27" s="151" t="s">
        <v>170</v>
      </c>
      <c r="AN27" s="151" t="s">
        <v>171</v>
      </c>
      <c r="AO27" s="151" t="s">
        <v>172</v>
      </c>
      <c r="AP27" s="151" t="s">
        <v>173</v>
      </c>
      <c r="AQ27" s="151" t="s">
        <v>3</v>
      </c>
      <c r="AR27" s="151" t="s">
        <v>4</v>
      </c>
      <c r="AS27" s="151" t="s">
        <v>147</v>
      </c>
      <c r="AT27" s="151" t="s">
        <v>151</v>
      </c>
      <c r="AU27" s="151" t="s">
        <v>152</v>
      </c>
      <c r="AV27" s="151" t="s">
        <v>169</v>
      </c>
      <c r="AW27" s="151" t="s">
        <v>170</v>
      </c>
      <c r="AX27" s="151" t="s">
        <v>171</v>
      </c>
      <c r="AY27" s="151" t="s">
        <v>172</v>
      </c>
      <c r="AZ27" s="151" t="s">
        <v>173</v>
      </c>
      <c r="BU27" s="36" t="s">
        <v>250</v>
      </c>
      <c r="BV27" s="36" t="s">
        <v>251</v>
      </c>
      <c r="BW27" s="267"/>
    </row>
    <row r="28" spans="1:75" outlineLevel="1" x14ac:dyDescent="0.25">
      <c r="A28" t="e">
        <f>VLOOKUP(C28,'Back-end'!$S$43:$T$55, 2, FALSE)</f>
        <v>#N/A</v>
      </c>
      <c r="B28" t="e">
        <f>VLOOKUP(C28,'Back-end'!$S$43:$U$55, 3, FALSE)</f>
        <v>#N/A</v>
      </c>
      <c r="C28" s="211" t="s">
        <v>241</v>
      </c>
      <c r="D28" s="211"/>
      <c r="E28" s="148"/>
      <c r="F28" s="4"/>
      <c r="G28" s="82"/>
      <c r="H28" s="147"/>
      <c r="I28" s="241">
        <f>24560*1.03</f>
        <v>25296.799999999999</v>
      </c>
      <c r="J28" s="241">
        <f>I28*1.03</f>
        <v>26055.704000000002</v>
      </c>
      <c r="K28" s="241">
        <f>J28*1.03</f>
        <v>26837.375120000001</v>
      </c>
      <c r="L28" s="242">
        <f>SUM(I28:K28)</f>
        <v>78189.879119999998</v>
      </c>
      <c r="M28" s="153" t="e">
        <f>IF(N(I$17)&gt;0,IF(OR($A28="PTS",$A28="PTG",$A28="PTU"),IF(MONTH(I$17)&lt;7,($G28*$H28/$B28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28,'Back-end'!$B$6:$B$125,"&lt;="&amp;I$18,'Back-end'!$B$6:$B$125,"&lt;="&amp;$F28,'Back-end'!$B$6:$B$125,"&gt;="&amp;I$17)),
IF(MONTH(I$18)=7,
(($G28*$H28/$B28*INDEX('Back-end'!$T$23:$X$29,MATCH("PTS",'Back-end'!$S$23:$S$29,0),MATCH(INDEX('Back-end'!$B$6:$E$125,MATCH(DATE(YEAR(I$18),MONTH(I$18),DAY(1)),'Back-end'!$B$6:$B$125,0),4),'Back-end'!$T$22:$X$22,0))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),
(($G28*$H28/$B28*INDEX('Back-end'!$T$23:$X$29,MATCH("PTS",'Back-end'!$S$23:$S$29,0),MATCH(INDEX('Back-end'!$B$6:$E$125,MATCH(DATE(YEAR(I$17),MONTH(I$17),DAY(1)),'Back-end'!$B$6:$B$125,0),4),'Back-end'!$T$22:$X$22,0))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28,'Back-end'!$B$6:$B$125,"&lt;="&amp;I$18,'Back-end'!$B$6:$B$125,"&lt;="&amp;$F28,'Back-end'!$B$6:$B$125,"&gt;="&amp;I$17)))))),0)</f>
        <v>#N/A</v>
      </c>
      <c r="N28" s="153" t="e">
        <f>IF(N(J$17)&gt;0,IF(OR($A28="PTS",$A28="PTG",$A28="PTU"),IF(MONTH(J$17)&lt;7,($G28*$H28/$B28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28,'Back-end'!$B$6:$B$125,"&lt;="&amp;J$18,'Back-end'!$B$6:$B$125,"&lt;="&amp;$F28,'Back-end'!$B$6:$B$125,"&gt;="&amp;J$17)),
IF(MONTH(J$18)=7,
(($G28*$H28/$B28*INDEX('Back-end'!$T$23:$X$29,MATCH("PTS",'Back-end'!$S$23:$S$29,0),MATCH(INDEX('Back-end'!$B$6:$E$125,MATCH(DATE(YEAR(J$18),MONTH(J$18),DAY(1)),'Back-end'!$B$6:$B$125,0),4),'Back-end'!$T$22:$X$22,0))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),
(($G28*$H28/$B28*INDEX('Back-end'!$T$23:$X$29,MATCH("PTS",'Back-end'!$S$23:$S$29,0),MATCH(INDEX('Back-end'!$B$6:$E$125,MATCH(DATE(YEAR(J$17),MONTH(J$17),DAY(1)),'Back-end'!$B$6:$B$125,0),4),'Back-end'!$T$22:$X$22,0))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28,'Back-end'!$B$6:$B$125,"&lt;="&amp;J$18,'Back-end'!$B$6:$B$125,"&lt;="&amp;$F28,'Back-end'!$B$6:$B$125,"&gt;="&amp;J$17)))))),0)</f>
        <v>#N/A</v>
      </c>
      <c r="O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P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Q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R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S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T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U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V28" s="153" t="e">
        <f>IF(N(#REF!)&gt;0,IF(OR($A28="PTS",$A28="PTG",$A28="PTU"),IF(MONTH(#REF!)&lt;7,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,
IF(MONTH(#REF!)=7,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),
(($G28*$H28/$B28*INDEX('Back-end'!$T$23:$X$29,MATCH("PTS",'Back-end'!$S$23:$S$29,0),MATCH(INDEX('Back-end'!$B$6:$E$125,MATCH(DATE(YEAR(#REF!),MONTH(#REF!),DAY(1)),'Back-end'!$B$6:$B$125,0),4),'Back-end'!$T$22:$X$22,0))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28,'Back-end'!$B$6:$B$125,"&lt;="&amp;#REF!,'Back-end'!$B$6:$B$125,"&lt;="&amp;$F28,'Back-end'!$B$6:$B$125,"&gt;="&amp;#REF!))+
($G28*$H28/$B28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28,'Back-end'!$B$6:$B$125,"&lt;="&amp;#REF!,'Back-end'!$B$6:$B$125,"&lt;="&amp;$F28,'Back-end'!$B$6:$B$125,"&gt;="&amp;#REF!)))))),0)</f>
        <v>#REF!</v>
      </c>
      <c r="W28" s="2" t="e">
        <f>IF(OR($A28="PTG",$A28="PTA"),SUMIFS('Back-end'!$G$6:$G$125,'Back-end'!$J$6:$J$125,W$27,'Back-end'!$B$6:$B$125,"&gt;="&amp;$E28,'Back-end'!$J$6:$J$125,I$16,'Back-end'!$B$6:$B$125,"&lt;="&amp;I$18,'Back-end'!$B$6:$B$125,"&lt;="&amp;$F28,'Back-end'!$B$6:$B$125,"&gt;="&amp;I$17),0)</f>
        <v>#N/A</v>
      </c>
      <c r="X28" s="2" t="e">
        <f>IF(OR($A28="PTG",$A28="PTA"),SUMIFS('Back-end'!$G$6:$G$125,'Back-end'!$J$6:$J$125,X$27,'Back-end'!$B$6:$B$125,"&gt;="&amp;$E28,'Back-end'!$J$6:$J$125,J$16,'Back-end'!$B$6:$B$125,"&lt;="&amp;J$18,'Back-end'!$B$6:$B$125,"&lt;="&amp;$F28,'Back-end'!$B$6:$B$125,"&gt;="&amp;J$17),0)</f>
        <v>#N/A</v>
      </c>
      <c r="Y28" s="2" t="e">
        <f>IF(OR($A28="PTG",$A28="PTA"),SUMIFS('Back-end'!$G$6:$G$125,'Back-end'!$J$6:$J$125,Y$27,'Back-end'!$B$6:$B$125,"&gt;="&amp;$E28,'Back-end'!$J$6:$J$125,#REF!,'Back-end'!$B$6:$B$125,"&lt;="&amp;#REF!,'Back-end'!$B$6:$B$125,"&lt;="&amp;$F28,'Back-end'!$B$6:$B$125,"&gt;="&amp;#REF!),0)</f>
        <v>#N/A</v>
      </c>
      <c r="Z28" s="2" t="e">
        <f>IF(OR($A28="PTG",$A28="PTA"),SUMIFS('Back-end'!$G$6:$G$125,'Back-end'!$J$6:$J$125,Z$27,'Back-end'!$B$6:$B$125,"&gt;="&amp;$E28,'Back-end'!$J$6:$J$125,#REF!,'Back-end'!$B$6:$B$125,"&lt;="&amp;#REF!,'Back-end'!$B$6:$B$125,"&lt;="&amp;$F28,'Back-end'!$B$6:$B$125,"&gt;="&amp;#REF!),0)</f>
        <v>#N/A</v>
      </c>
      <c r="AA28" s="2" t="e">
        <f>IF(OR($A28="PTG",$A28="PTA"),SUMIFS('Back-end'!$G$6:$G$125,'Back-end'!$J$6:$J$125,AA$27,'Back-end'!$B$6:$B$125,"&gt;="&amp;$E28,'Back-end'!$J$6:$J$125,#REF!,'Back-end'!$B$6:$B$125,"&lt;="&amp;#REF!,'Back-end'!$B$6:$B$125,"&lt;="&amp;$F28,'Back-end'!$B$6:$B$125,"&gt;="&amp;#REF!),0)</f>
        <v>#N/A</v>
      </c>
      <c r="AB28" s="2" t="e">
        <f>IF(OR($A28="PTG",$A28="PTA"),SUMIFS('Back-end'!$G$6:$G$125,'Back-end'!$J$6:$J$125,AB$27,'Back-end'!$B$6:$B$125,"&gt;="&amp;$E28,'Back-end'!$J$6:$J$125,#REF!,'Back-end'!$B$6:$B$125,"&lt;="&amp;#REF!,'Back-end'!$B$6:$B$125,"&lt;="&amp;$F28,'Back-end'!$B$6:$B$125,"&gt;="&amp;#REF!),0)</f>
        <v>#N/A</v>
      </c>
      <c r="AC28" s="2" t="e">
        <f>IF(OR($A28="PTG",$A28="PTA"),SUMIFS('Back-end'!$G$6:$G$125,'Back-end'!$J$6:$J$125,AC$27,'Back-end'!$B$6:$B$125,"&gt;="&amp;$E28,'Back-end'!$J$6:$J$125,#REF!,'Back-end'!$B$6:$B$125,"&lt;="&amp;#REF!,'Back-end'!$B$6:$B$125,"&lt;="&amp;$F28,'Back-end'!$B$6:$B$125,"&gt;="&amp;#REF!),0)</f>
        <v>#N/A</v>
      </c>
      <c r="AD28" s="2" t="e">
        <f>IF(OR($A28="PTG",$A28="PTA"),SUMIFS('Back-end'!$G$6:$G$125,'Back-end'!$J$6:$J$125,AD$27,'Back-end'!$B$6:$B$125,"&gt;="&amp;$E28,'Back-end'!$J$6:$J$125,#REF!,'Back-end'!$B$6:$B$125,"&lt;="&amp;#REF!,'Back-end'!$B$6:$B$125,"&lt;="&amp;$F28,'Back-end'!$B$6:$B$125,"&gt;="&amp;#REF!),0)</f>
        <v>#N/A</v>
      </c>
      <c r="AE28" s="2" t="e">
        <f>IF(OR($A28="PTG",$A28="PTA"),SUMIFS('Back-end'!$G$6:$G$125,'Back-end'!$J$6:$J$125,AE$27,'Back-end'!$B$6:$B$125,"&gt;="&amp;$E28,'Back-end'!$J$6:$J$125,#REF!,'Back-end'!$B$6:$B$125,"&lt;="&amp;#REF!,'Back-end'!$B$6:$B$125,"&lt;="&amp;$F28,'Back-end'!$B$6:$B$125,"&gt;="&amp;#REF!),0)</f>
        <v>#N/A</v>
      </c>
      <c r="AF28" s="2" t="e">
        <f>IF(OR($A28="PTG",$A28="PTA"),SUMIFS('Back-end'!$G$6:$G$125,'Back-end'!$J$6:$J$125,AF$27,'Back-end'!$B$6:$B$125,"&gt;="&amp;$E28,'Back-end'!$J$6:$J$125,#REF!,'Back-end'!$B$6:$B$125,"&lt;="&amp;#REF!,'Back-end'!$B$6:$B$125,"&lt;="&amp;$F28,'Back-end'!$B$6:$B$125,"&gt;="&amp;#REF!),0)</f>
        <v>#N/A</v>
      </c>
      <c r="AG28" s="153" t="e">
        <f>IF(OR($A28="PTG",$A28="PTA"),SUMIFS('Back-end'!$H$6:$H$125,'Back-end'!$J$6:$J$125,AG$27,'Back-end'!$B$6:$B$125,"&gt;="&amp;$E28,'Back-end'!$J$6:$J$125,I$16,'Back-end'!$B$6:$B$125,"&lt;="&amp;I$18,'Back-end'!$B$6:$B$125,"&lt;="&amp;$F28,'Back-end'!$B$6:$B$125,"&gt;="&amp;I$17),IF($A28="PTS",SUMIFS('Back-end'!$H$6:$H$125,'Back-end'!$J$6:$J$125,AG$27,'Back-end'!$B$6:$B$125,"&gt;="&amp;$E28,'Back-end'!$J$6:$J$125,I$16,'Back-end'!$B$6:$B$125,"&lt;="&amp;I$18,'Back-end'!$B$6:$B$125,"&lt;="&amp;$F28,'Back-end'!$B$6:$B$125,"&gt;="&amp;I$17,'Back-end'!$C$6:$C$125,"Summer"),0))</f>
        <v>#N/A</v>
      </c>
      <c r="AH28" s="153" t="e">
        <f>IF(OR($A28="PTG",$A28="PTA"),SUMIFS('Back-end'!$H$6:$H$125,'Back-end'!$J$6:$J$125,AH$27,'Back-end'!$B$6:$B$125,"&gt;="&amp;$E28,'Back-end'!$J$6:$J$125,J$16,'Back-end'!$B$6:$B$125,"&lt;="&amp;J$18,'Back-end'!$B$6:$B$125,"&lt;="&amp;$F28,'Back-end'!$B$6:$B$125,"&gt;="&amp;J$17),IF($A28="PTS",SUMIFS('Back-end'!$H$6:$H$125,'Back-end'!$J$6:$J$125,AH$27,'Back-end'!$B$6:$B$125,"&gt;="&amp;$E28,'Back-end'!$J$6:$J$125,J$16,'Back-end'!$B$6:$B$125,"&lt;="&amp;J$18,'Back-end'!$B$6:$B$125,"&lt;="&amp;$F28,'Back-end'!$B$6:$B$125,"&gt;="&amp;J$17,'Back-end'!$C$6:$C$125,"Summer"),0))</f>
        <v>#N/A</v>
      </c>
      <c r="AI28" s="153" t="e">
        <f>IF(OR($A28="PTG",$A28="PTA"),SUMIFS('Back-end'!$H$6:$H$125,'Back-end'!$J$6:$J$125,AI$27,'Back-end'!$B$6:$B$125,"&gt;="&amp;$E28,'Back-end'!$J$6:$J$125,#REF!,'Back-end'!$B$6:$B$125,"&lt;="&amp;#REF!,'Back-end'!$B$6:$B$125,"&lt;="&amp;$F28,'Back-end'!$B$6:$B$125,"&gt;="&amp;#REF!),IF($A28="PTS",SUMIFS('Back-end'!$H$6:$H$125,'Back-end'!$J$6:$J$125,AI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J28" s="153" t="e">
        <f>IF(OR($A28="PTG",$A28="PTA"),SUMIFS('Back-end'!$H$6:$H$125,'Back-end'!$J$6:$J$125,AJ$27,'Back-end'!$B$6:$B$125,"&gt;="&amp;$E28,'Back-end'!$J$6:$J$125,#REF!,'Back-end'!$B$6:$B$125,"&lt;="&amp;#REF!,'Back-end'!$B$6:$B$125,"&lt;="&amp;$F28,'Back-end'!$B$6:$B$125,"&gt;="&amp;#REF!),IF($A28="PTS",SUMIFS('Back-end'!$H$6:$H$125,'Back-end'!$J$6:$J$125,AJ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K28" s="153" t="e">
        <f>IF(OR($A28="PTG",$A28="PTA"),SUMIFS('Back-end'!$H$6:$H$125,'Back-end'!$J$6:$J$125,AK$27,'Back-end'!$B$6:$B$125,"&gt;="&amp;$E28,'Back-end'!$J$6:$J$125,#REF!,'Back-end'!$B$6:$B$125,"&lt;="&amp;#REF!,'Back-end'!$B$6:$B$125,"&lt;="&amp;$F28,'Back-end'!$B$6:$B$125,"&gt;="&amp;#REF!),IF($A28="PTS",SUMIFS('Back-end'!$H$6:$H$125,'Back-end'!$J$6:$J$125,AK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L28" s="153" t="e">
        <f>IF(OR($A28="PTG",$A28="PTA"),SUMIFS('Back-end'!$H$6:$H$125,'Back-end'!$J$6:$J$125,AL$27,'Back-end'!$B$6:$B$125,"&gt;="&amp;$E28,'Back-end'!$J$6:$J$125,#REF!,'Back-end'!$B$6:$B$125,"&lt;="&amp;#REF!,'Back-end'!$B$6:$B$125,"&lt;="&amp;$F28,'Back-end'!$B$6:$B$125,"&gt;="&amp;#REF!),IF($A28="PTS",SUMIFS('Back-end'!$H$6:$H$125,'Back-end'!$J$6:$J$125,AL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M28" s="153" t="e">
        <f>IF(OR($A28="PTG",$A28="PTA"),SUMIFS('Back-end'!$H$6:$H$125,'Back-end'!$J$6:$J$125,AM$27,'Back-end'!$B$6:$B$125,"&gt;="&amp;$E28,'Back-end'!$J$6:$J$125,#REF!,'Back-end'!$B$6:$B$125,"&lt;="&amp;#REF!,'Back-end'!$B$6:$B$125,"&lt;="&amp;$F28,'Back-end'!$B$6:$B$125,"&gt;="&amp;#REF!),IF($A28="PTS",SUMIFS('Back-end'!$H$6:$H$125,'Back-end'!$J$6:$J$125,AM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N28" s="153" t="e">
        <f>IF(OR($A28="PTG",$A28="PTA"),SUMIFS('Back-end'!$H$6:$H$125,'Back-end'!$J$6:$J$125,AN$27,'Back-end'!$B$6:$B$125,"&gt;="&amp;$E28,'Back-end'!$J$6:$J$125,#REF!,'Back-end'!$B$6:$B$125,"&lt;="&amp;#REF!,'Back-end'!$B$6:$B$125,"&lt;="&amp;$F28,'Back-end'!$B$6:$B$125,"&gt;="&amp;#REF!),IF($A28="PTS",SUMIFS('Back-end'!$H$6:$H$125,'Back-end'!$J$6:$J$125,AN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O28" s="153" t="e">
        <f>IF(OR($A28="PTG",$A28="PTA"),SUMIFS('Back-end'!$H$6:$H$125,'Back-end'!$J$6:$J$125,AO$27,'Back-end'!$B$6:$B$125,"&gt;="&amp;$E28,'Back-end'!$J$6:$J$125,#REF!,'Back-end'!$B$6:$B$125,"&lt;="&amp;#REF!,'Back-end'!$B$6:$B$125,"&lt;="&amp;$F28,'Back-end'!$B$6:$B$125,"&gt;="&amp;#REF!),IF($A28="PTS",SUMIFS('Back-end'!$H$6:$H$125,'Back-end'!$J$6:$J$125,AO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P28" s="153" t="e">
        <f>IF(OR($A28="PTG",$A28="PTA"),SUMIFS('Back-end'!$H$6:$H$125,'Back-end'!$J$6:$J$125,AP$27,'Back-end'!$B$6:$B$125,"&gt;="&amp;$E28,'Back-end'!$J$6:$J$125,#REF!,'Back-end'!$B$6:$B$125,"&lt;="&amp;#REF!,'Back-end'!$B$6:$B$125,"&lt;="&amp;$F28,'Back-end'!$B$6:$B$125,"&gt;="&amp;#REF!),IF($A28="PTS",SUMIFS('Back-end'!$H$6:$H$125,'Back-end'!$J$6:$J$125,AP$27,'Back-end'!$B$6:$B$125,"&gt;="&amp;$E28,'Back-end'!$J$6:$J$125,#REF!,'Back-end'!$B$6:$B$125,"&lt;="&amp;#REF!,'Back-end'!$B$6:$B$125,"&lt;="&amp;$F28,'Back-end'!$B$6:$B$125,"&gt;="&amp;#REF!,'Back-end'!$C$6:$C$125,"Summer"),0))</f>
        <v>#N/A</v>
      </c>
      <c r="AQ28" s="2" t="e">
        <f>IF(OR($A28="PTG",$A28="PTA"),SUMIFS('Back-end'!$I$6:$I$125,'Back-end'!$J$6:$J$125,W$27,'Back-end'!$B$6:$B$125,"&gt;="&amp;$E28,'Back-end'!$J$6:$J$125,I$16,'Back-end'!$B$6:$B$125,"&lt;="&amp;I$18,'Back-end'!$B$6:$B$125,"&lt;="&amp;$F28,'Back-end'!$B$6:$B$125,"&gt;="&amp;I$17),0)</f>
        <v>#N/A</v>
      </c>
      <c r="AR28" s="2" t="e">
        <f>IF(OR($A28="PTG",$A28="PTA"),SUMIFS('Back-end'!$I$6:$I$125,'Back-end'!$J$6:$J$125,X$27,'Back-end'!$B$6:$B$125,"&gt;="&amp;$E28,'Back-end'!$J$6:$J$125,J$16,'Back-end'!$B$6:$B$125,"&lt;="&amp;J$18,'Back-end'!$B$6:$B$125,"&lt;="&amp;$F28,'Back-end'!$B$6:$B$125,"&gt;="&amp;J$17),0)</f>
        <v>#N/A</v>
      </c>
      <c r="AS28" s="2" t="e">
        <f>IF(OR($A28="PTG",$A28="PTA"),SUMIFS('Back-end'!$I$6:$I$125,'Back-end'!$J$6:$J$125,Y$27,'Back-end'!$B$6:$B$125,"&gt;="&amp;$E28,'Back-end'!$J$6:$J$125,#REF!,'Back-end'!$B$6:$B$125,"&lt;="&amp;#REF!,'Back-end'!$B$6:$B$125,"&lt;="&amp;$F28,'Back-end'!$B$6:$B$125,"&gt;="&amp;#REF!),0)</f>
        <v>#N/A</v>
      </c>
      <c r="AT28" s="2" t="e">
        <f>IF(OR($A28="PTG",$A28="PTA"),SUMIFS('Back-end'!$I$6:$I$125,'Back-end'!$J$6:$J$125,Z$27,'Back-end'!$B$6:$B$125,"&gt;="&amp;$E28,'Back-end'!$J$6:$J$125,#REF!,'Back-end'!$B$6:$B$125,"&lt;="&amp;#REF!,'Back-end'!$B$6:$B$125,"&lt;="&amp;$F28,'Back-end'!$B$6:$B$125,"&gt;="&amp;#REF!),0)</f>
        <v>#N/A</v>
      </c>
      <c r="AU28" s="2" t="e">
        <f>IF(OR($A28="PTG",$A28="PTA"),SUMIFS('Back-end'!$I$6:$I$125,'Back-end'!$J$6:$J$125,AA$27,'Back-end'!$B$6:$B$125,"&gt;="&amp;$E28,'Back-end'!$J$6:$J$125,#REF!,'Back-end'!$B$6:$B$125,"&lt;="&amp;#REF!,'Back-end'!$B$6:$B$125,"&lt;="&amp;$F28,'Back-end'!$B$6:$B$125,"&gt;="&amp;#REF!),0)</f>
        <v>#N/A</v>
      </c>
      <c r="AV28" s="2" t="e">
        <f>IF(OR($A28="PTG",$A28="PTA"),SUMIFS('Back-end'!$I$6:$I$125,'Back-end'!$J$6:$J$125,AB$27,'Back-end'!$B$6:$B$125,"&gt;="&amp;$E28,'Back-end'!$J$6:$J$125,#REF!,'Back-end'!$B$6:$B$125,"&lt;="&amp;#REF!,'Back-end'!$B$6:$B$125,"&lt;="&amp;$F28,'Back-end'!$B$6:$B$125,"&gt;="&amp;#REF!),0)</f>
        <v>#N/A</v>
      </c>
      <c r="AW28" s="2" t="e">
        <f>IF(OR($A28="PTG",$A28="PTA"),SUMIFS('Back-end'!$I$6:$I$125,'Back-end'!$J$6:$J$125,AC$27,'Back-end'!$B$6:$B$125,"&gt;="&amp;$E28,'Back-end'!$J$6:$J$125,#REF!,'Back-end'!$B$6:$B$125,"&lt;="&amp;#REF!,'Back-end'!$B$6:$B$125,"&lt;="&amp;$F28,'Back-end'!$B$6:$B$125,"&gt;="&amp;#REF!),0)</f>
        <v>#N/A</v>
      </c>
      <c r="AX28" s="2" t="e">
        <f>IF(OR($A28="PTG",$A28="PTA"),SUMIFS('Back-end'!$I$6:$I$125,'Back-end'!$J$6:$J$125,AD$27,'Back-end'!$B$6:$B$125,"&gt;="&amp;$E28,'Back-end'!$J$6:$J$125,#REF!,'Back-end'!$B$6:$B$125,"&lt;="&amp;#REF!,'Back-end'!$B$6:$B$125,"&lt;="&amp;$F28,'Back-end'!$B$6:$B$125,"&gt;="&amp;#REF!),0)</f>
        <v>#N/A</v>
      </c>
      <c r="AY28" s="2" t="e">
        <f>IF(OR($A28="PTG",$A28="PTA"),SUMIFS('Back-end'!$I$6:$I$125,'Back-end'!$J$6:$J$125,AE$27,'Back-end'!$B$6:$B$125,"&gt;="&amp;$E28,'Back-end'!$J$6:$J$125,#REF!,'Back-end'!$B$6:$B$125,"&lt;="&amp;#REF!,'Back-end'!$B$6:$B$125,"&lt;="&amp;$F28,'Back-end'!$B$6:$B$125,"&gt;="&amp;#REF!),0)</f>
        <v>#N/A</v>
      </c>
      <c r="AZ28" s="2" t="e">
        <f>IF(OR($A28="PTG",$A28="PTA"),SUMIFS('Back-end'!$I$6:$I$125,'Back-end'!$J$6:$J$125,AF$27,'Back-end'!$B$6:$B$125,"&gt;="&amp;$E28,'Back-end'!$J$6:$J$125,#REF!,'Back-end'!$B$6:$B$125,"&lt;="&amp;#REF!,'Back-end'!$B$6:$B$125,"&lt;="&amp;$F28,'Back-end'!$B$6:$B$125,"&gt;="&amp;#REF!),0)</f>
        <v>#N/A</v>
      </c>
      <c r="BU28" s="268">
        <v>49383</v>
      </c>
      <c r="BV28" s="268">
        <f>L28-BU28</f>
        <v>28806.879119999998</v>
      </c>
      <c r="BW28" s="267"/>
    </row>
    <row r="29" spans="1:75" hidden="1" outlineLevel="1" x14ac:dyDescent="0.25">
      <c r="A29" t="e">
        <f>VLOOKUP(C29,'Back-end'!$S$43:$T$55, 2, FALSE)</f>
        <v>#N/A</v>
      </c>
      <c r="B29" t="e">
        <f>VLOOKUP(C29,'Back-end'!$S$43:$U$55, 3, FALSE)</f>
        <v>#N/A</v>
      </c>
      <c r="C29" s="211" t="s">
        <v>243</v>
      </c>
      <c r="D29" s="211"/>
      <c r="E29" s="148"/>
      <c r="F29" s="4"/>
      <c r="G29" s="82"/>
      <c r="H29" s="147"/>
      <c r="I29" s="241">
        <v>0</v>
      </c>
      <c r="J29" s="241">
        <v>0</v>
      </c>
      <c r="K29" s="241"/>
      <c r="L29" s="242">
        <f t="shared" ref="L29:L36" si="0">SUM(I29:J29)</f>
        <v>0</v>
      </c>
      <c r="M29" s="153" t="e">
        <f>IF(N(I$17)&gt;0,IF(OR($A29="PTS",$A29="PTG",$A29="PTU"),IF(MONTH(I$17)&lt;7,($G29*$H29/$B29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29,'Back-end'!$B$6:$B$125,"&lt;="&amp;I$18,'Back-end'!$B$6:$B$125,"&lt;="&amp;$F29,'Back-end'!$B$6:$B$125,"&gt;="&amp;I$17))+
($G29*$H29/$B29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29,'Back-end'!$B$6:$B$125,"&lt;="&amp;I$18,'Back-end'!$B$6:$B$125,"&lt;="&amp;$F29,'Back-end'!$B$6:$B$125,"&gt;="&amp;I$17)),
IF(MONTH(I$18)=7,
(($G29*$H29/$B29*INDEX('Back-end'!$T$23:$X$29,MATCH("PTS",'Back-end'!$S$23:$S$29,0),MATCH(INDEX('Back-end'!$B$6:$E$125,MATCH(DATE(YEAR(I$18),MONTH(I$18),DAY(1)),'Back-end'!$B$6:$B$125,0),4),'Back-end'!$T$22:$X$22,0))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29,'Back-end'!$B$6:$B$125,"&lt;="&amp;I$18,'Back-end'!$B$6:$B$125,"&lt;="&amp;$F29,'Back-end'!$B$6:$B$125,"&gt;="&amp;I$17))+
($G29*$H29/$B29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29,'Back-end'!$B$6:$B$125,"&lt;="&amp;I$18,'Back-end'!$B$6:$B$125,"&lt;="&amp;$F29,'Back-end'!$B$6:$B$125,"&gt;="&amp;I$17))),
(($G29*$H29/$B29*INDEX('Back-end'!$T$23:$X$29,MATCH("PTS",'Back-end'!$S$23:$S$29,0),MATCH(INDEX('Back-end'!$B$6:$E$125,MATCH(DATE(YEAR(I$17),MONTH(I$17),DAY(1)),'Back-end'!$B$6:$B$125,0),4),'Back-end'!$T$22:$X$22,0))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29,'Back-end'!$B$6:$B$125,"&lt;="&amp;I$18,'Back-end'!$B$6:$B$125,"&lt;="&amp;$F29,'Back-end'!$B$6:$B$125,"&gt;="&amp;I$17))+
($G29*$H29/$B29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29,'Back-end'!$B$6:$B$125,"&lt;="&amp;I$18,'Back-end'!$B$6:$B$125,"&lt;="&amp;$F29,'Back-end'!$B$6:$B$125,"&gt;="&amp;I$17)))))),0)</f>
        <v>#N/A</v>
      </c>
      <c r="N29" s="153" t="e">
        <f>IF(N(J$17)&gt;0,IF(OR($A29="PTS",$A29="PTG",$A29="PTU"),IF(MONTH(J$17)&lt;7,($G29*$H29/$B29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29,'Back-end'!$B$6:$B$125,"&lt;="&amp;J$18,'Back-end'!$B$6:$B$125,"&lt;="&amp;$F29,'Back-end'!$B$6:$B$125,"&gt;="&amp;J$17))+
($G29*$H29/$B29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29,'Back-end'!$B$6:$B$125,"&lt;="&amp;J$18,'Back-end'!$B$6:$B$125,"&lt;="&amp;$F29,'Back-end'!$B$6:$B$125,"&gt;="&amp;J$17)),
IF(MONTH(J$18)=7,
(($G29*$H29/$B29*INDEX('Back-end'!$T$23:$X$29,MATCH("PTS",'Back-end'!$S$23:$S$29,0),MATCH(INDEX('Back-end'!$B$6:$E$125,MATCH(DATE(YEAR(J$18),MONTH(J$18),DAY(1)),'Back-end'!$B$6:$B$125,0),4),'Back-end'!$T$22:$X$22,0))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29,'Back-end'!$B$6:$B$125,"&lt;="&amp;J$18,'Back-end'!$B$6:$B$125,"&lt;="&amp;$F29,'Back-end'!$B$6:$B$125,"&gt;="&amp;J$17))+
($G29*$H29/$B29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29,'Back-end'!$B$6:$B$125,"&lt;="&amp;J$18,'Back-end'!$B$6:$B$125,"&lt;="&amp;$F29,'Back-end'!$B$6:$B$125,"&gt;="&amp;J$17))),
(($G29*$H29/$B29*INDEX('Back-end'!$T$23:$X$29,MATCH("PTS",'Back-end'!$S$23:$S$29,0),MATCH(INDEX('Back-end'!$B$6:$E$125,MATCH(DATE(YEAR(J$17),MONTH(J$17),DAY(1)),'Back-end'!$B$6:$B$125,0),4),'Back-end'!$T$22:$X$22,0))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29,'Back-end'!$B$6:$B$125,"&lt;="&amp;J$18,'Back-end'!$B$6:$B$125,"&lt;="&amp;$F29,'Back-end'!$B$6:$B$125,"&gt;="&amp;J$17))+
($G29*$H29/$B29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29,'Back-end'!$B$6:$B$125,"&lt;="&amp;J$18,'Back-end'!$B$6:$B$125,"&lt;="&amp;$F29,'Back-end'!$B$6:$B$125,"&gt;="&amp;J$17)))))),0)</f>
        <v>#N/A</v>
      </c>
      <c r="O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P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Q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R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S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T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U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V29" s="153" t="e">
        <f>IF(N(#REF!)&gt;0,IF(OR($A29="PTS",$A29="PTG",$A29="PTU"),IF(MONTH(#REF!)&lt;7,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,
IF(MONTH(#REF!)=7,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),
(($G29*$H29/$B29*INDEX('Back-end'!$T$23:$X$29,MATCH("PTS",'Back-end'!$S$23:$S$29,0),MATCH(INDEX('Back-end'!$B$6:$E$125,MATCH(DATE(YEAR(#REF!),MONTH(#REF!),DAY(1)),'Back-end'!$B$6:$B$125,0),4),'Back-end'!$T$22:$X$22,0))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29,'Back-end'!$B$6:$B$125,"&lt;="&amp;#REF!,'Back-end'!$B$6:$B$125,"&lt;="&amp;$F29,'Back-end'!$B$6:$B$125,"&gt;="&amp;#REF!))+
($G29*$H29/$B29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29,'Back-end'!$B$6:$B$125,"&lt;="&amp;#REF!,'Back-end'!$B$6:$B$125,"&lt;="&amp;$F29,'Back-end'!$B$6:$B$125,"&gt;="&amp;#REF!)))))),0)</f>
        <v>#REF!</v>
      </c>
      <c r="W29" s="2" t="e">
        <f>IF(OR($A29="PTG",$A29="PTA"),SUMIFS('Back-end'!$G$6:$G$125,'Back-end'!$J$6:$J$125,W$27,'Back-end'!$B$6:$B$125,"&gt;="&amp;$E29,'Back-end'!$J$6:$J$125,I$16,'Back-end'!$B$6:$B$125,"&lt;="&amp;I$18,'Back-end'!$B$6:$B$125,"&lt;="&amp;$F29,'Back-end'!$B$6:$B$125,"&gt;="&amp;I$17),0)</f>
        <v>#N/A</v>
      </c>
      <c r="X29" s="2" t="e">
        <f>IF(OR($A29="PTG",$A29="PTA"),SUMIFS('Back-end'!$G$6:$G$125,'Back-end'!$J$6:$J$125,X$27,'Back-end'!$B$6:$B$125,"&gt;="&amp;$E29,'Back-end'!$J$6:$J$125,J$16,'Back-end'!$B$6:$B$125,"&lt;="&amp;J$18,'Back-end'!$B$6:$B$125,"&lt;="&amp;$F29,'Back-end'!$B$6:$B$125,"&gt;="&amp;J$17),0)</f>
        <v>#N/A</v>
      </c>
      <c r="Y29" s="2" t="e">
        <f>IF(OR($A29="PTG",$A29="PTA"),SUMIFS('Back-end'!$G$6:$G$125,'Back-end'!$J$6:$J$125,Y$27,'Back-end'!$B$6:$B$125,"&gt;="&amp;$E29,'Back-end'!$J$6:$J$125,#REF!,'Back-end'!$B$6:$B$125,"&lt;="&amp;#REF!,'Back-end'!$B$6:$B$125,"&lt;="&amp;$F29,'Back-end'!$B$6:$B$125,"&gt;="&amp;#REF!),0)</f>
        <v>#N/A</v>
      </c>
      <c r="Z29" s="2" t="e">
        <f>IF(OR($A29="PTG",$A29="PTA"),SUMIFS('Back-end'!$G$6:$G$125,'Back-end'!$J$6:$J$125,Z$27,'Back-end'!$B$6:$B$125,"&gt;="&amp;$E29,'Back-end'!$J$6:$J$125,#REF!,'Back-end'!$B$6:$B$125,"&lt;="&amp;#REF!,'Back-end'!$B$6:$B$125,"&lt;="&amp;$F29,'Back-end'!$B$6:$B$125,"&gt;="&amp;#REF!),0)</f>
        <v>#N/A</v>
      </c>
      <c r="AA29" s="2" t="e">
        <f>IF(OR($A29="PTG",$A29="PTA"),SUMIFS('Back-end'!$G$6:$G$125,'Back-end'!$J$6:$J$125,AA$27,'Back-end'!$B$6:$B$125,"&gt;="&amp;$E29,'Back-end'!$J$6:$J$125,#REF!,'Back-end'!$B$6:$B$125,"&lt;="&amp;#REF!,'Back-end'!$B$6:$B$125,"&lt;="&amp;$F29,'Back-end'!$B$6:$B$125,"&gt;="&amp;#REF!),0)</f>
        <v>#N/A</v>
      </c>
      <c r="AB29" s="2" t="e">
        <f>IF(OR($A29="PTG",$A29="PTA"),SUMIFS('Back-end'!$G$6:$G$125,'Back-end'!$J$6:$J$125,AB$27,'Back-end'!$B$6:$B$125,"&gt;="&amp;$E29,'Back-end'!$J$6:$J$125,#REF!,'Back-end'!$B$6:$B$125,"&lt;="&amp;#REF!,'Back-end'!$B$6:$B$125,"&lt;="&amp;$F29,'Back-end'!$B$6:$B$125,"&gt;="&amp;#REF!),0)</f>
        <v>#N/A</v>
      </c>
      <c r="AC29" s="2" t="e">
        <f>IF(OR($A29="PTG",$A29="PTA"),SUMIFS('Back-end'!$G$6:$G$125,'Back-end'!$J$6:$J$125,AC$27,'Back-end'!$B$6:$B$125,"&gt;="&amp;$E29,'Back-end'!$J$6:$J$125,#REF!,'Back-end'!$B$6:$B$125,"&lt;="&amp;#REF!,'Back-end'!$B$6:$B$125,"&lt;="&amp;$F29,'Back-end'!$B$6:$B$125,"&gt;="&amp;#REF!),0)</f>
        <v>#N/A</v>
      </c>
      <c r="AD29" s="2" t="e">
        <f>IF(OR($A29="PTG",$A29="PTA"),SUMIFS('Back-end'!$G$6:$G$125,'Back-end'!$J$6:$J$125,AD$27,'Back-end'!$B$6:$B$125,"&gt;="&amp;$E29,'Back-end'!$J$6:$J$125,#REF!,'Back-end'!$B$6:$B$125,"&lt;="&amp;#REF!,'Back-end'!$B$6:$B$125,"&lt;="&amp;$F29,'Back-end'!$B$6:$B$125,"&gt;="&amp;#REF!),0)</f>
        <v>#N/A</v>
      </c>
      <c r="AE29" s="2" t="e">
        <f>IF(OR($A29="PTG",$A29="PTA"),SUMIFS('Back-end'!$G$6:$G$125,'Back-end'!$J$6:$J$125,AE$27,'Back-end'!$B$6:$B$125,"&gt;="&amp;$E29,'Back-end'!$J$6:$J$125,#REF!,'Back-end'!$B$6:$B$125,"&lt;="&amp;#REF!,'Back-end'!$B$6:$B$125,"&lt;="&amp;$F29,'Back-end'!$B$6:$B$125,"&gt;="&amp;#REF!),0)</f>
        <v>#N/A</v>
      </c>
      <c r="AF29" s="2" t="e">
        <f>IF(OR($A29="PTG",$A29="PTA"),SUMIFS('Back-end'!$G$6:$G$125,'Back-end'!$J$6:$J$125,AF$27,'Back-end'!$B$6:$B$125,"&gt;="&amp;$E29,'Back-end'!$J$6:$J$125,#REF!,'Back-end'!$B$6:$B$125,"&lt;="&amp;#REF!,'Back-end'!$B$6:$B$125,"&lt;="&amp;$F29,'Back-end'!$B$6:$B$125,"&gt;="&amp;#REF!),0)</f>
        <v>#N/A</v>
      </c>
      <c r="AG29" s="153" t="e">
        <f>IF(OR($A29="PTG",$A29="PTA"),SUMIFS('Back-end'!$H$6:$H$125,'Back-end'!$J$6:$J$125,AG$27,'Back-end'!$B$6:$B$125,"&gt;="&amp;$E29,'Back-end'!$J$6:$J$125,I$16,'Back-end'!$B$6:$B$125,"&lt;="&amp;I$18,'Back-end'!$B$6:$B$125,"&lt;="&amp;$F29,'Back-end'!$B$6:$B$125,"&gt;="&amp;I$17),IF($A29="PTS",SUMIFS('Back-end'!$H$6:$H$125,'Back-end'!$J$6:$J$125,AG$27,'Back-end'!$B$6:$B$125,"&gt;="&amp;$E29,'Back-end'!$J$6:$J$125,I$16,'Back-end'!$B$6:$B$125,"&lt;="&amp;I$18,'Back-end'!$B$6:$B$125,"&lt;="&amp;$F29,'Back-end'!$B$6:$B$125,"&gt;="&amp;I$17,'Back-end'!$C$6:$C$125,"Summer"),0))</f>
        <v>#N/A</v>
      </c>
      <c r="AH29" s="153" t="e">
        <f>IF(OR($A29="PTG",$A29="PTA"),SUMIFS('Back-end'!$H$6:$H$125,'Back-end'!$J$6:$J$125,AH$27,'Back-end'!$B$6:$B$125,"&gt;="&amp;$E29,'Back-end'!$J$6:$J$125,J$16,'Back-end'!$B$6:$B$125,"&lt;="&amp;J$18,'Back-end'!$B$6:$B$125,"&lt;="&amp;$F29,'Back-end'!$B$6:$B$125,"&gt;="&amp;J$17),IF($A29="PTS",SUMIFS('Back-end'!$H$6:$H$125,'Back-end'!$J$6:$J$125,AH$27,'Back-end'!$B$6:$B$125,"&gt;="&amp;$E29,'Back-end'!$J$6:$J$125,J$16,'Back-end'!$B$6:$B$125,"&lt;="&amp;J$18,'Back-end'!$B$6:$B$125,"&lt;="&amp;$F29,'Back-end'!$B$6:$B$125,"&gt;="&amp;J$17,'Back-end'!$C$6:$C$125,"Summer"),0))</f>
        <v>#N/A</v>
      </c>
      <c r="AI29" s="153" t="e">
        <f>IF(OR($A29="PTG",$A29="PTA"),SUMIFS('Back-end'!$H$6:$H$125,'Back-end'!$J$6:$J$125,AI$27,'Back-end'!$B$6:$B$125,"&gt;="&amp;$E29,'Back-end'!$J$6:$J$125,#REF!,'Back-end'!$B$6:$B$125,"&lt;="&amp;#REF!,'Back-end'!$B$6:$B$125,"&lt;="&amp;$F29,'Back-end'!$B$6:$B$125,"&gt;="&amp;#REF!),IF($A29="PTS",SUMIFS('Back-end'!$H$6:$H$125,'Back-end'!$J$6:$J$125,AI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J29" s="153" t="e">
        <f>IF(OR($A29="PTG",$A29="PTA"),SUMIFS('Back-end'!$H$6:$H$125,'Back-end'!$J$6:$J$125,AJ$27,'Back-end'!$B$6:$B$125,"&gt;="&amp;$E29,'Back-end'!$J$6:$J$125,#REF!,'Back-end'!$B$6:$B$125,"&lt;="&amp;#REF!,'Back-end'!$B$6:$B$125,"&lt;="&amp;$F29,'Back-end'!$B$6:$B$125,"&gt;="&amp;#REF!),IF($A29="PTS",SUMIFS('Back-end'!$H$6:$H$125,'Back-end'!$J$6:$J$125,AJ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K29" s="153" t="e">
        <f>IF(OR($A29="PTG",$A29="PTA"),SUMIFS('Back-end'!$H$6:$H$125,'Back-end'!$J$6:$J$125,AK$27,'Back-end'!$B$6:$B$125,"&gt;="&amp;$E29,'Back-end'!$J$6:$J$125,#REF!,'Back-end'!$B$6:$B$125,"&lt;="&amp;#REF!,'Back-end'!$B$6:$B$125,"&lt;="&amp;$F29,'Back-end'!$B$6:$B$125,"&gt;="&amp;#REF!),IF($A29="PTS",SUMIFS('Back-end'!$H$6:$H$125,'Back-end'!$J$6:$J$125,AK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L29" s="153" t="e">
        <f>IF(OR($A29="PTG",$A29="PTA"),SUMIFS('Back-end'!$H$6:$H$125,'Back-end'!$J$6:$J$125,AL$27,'Back-end'!$B$6:$B$125,"&gt;="&amp;$E29,'Back-end'!$J$6:$J$125,#REF!,'Back-end'!$B$6:$B$125,"&lt;="&amp;#REF!,'Back-end'!$B$6:$B$125,"&lt;="&amp;$F29,'Back-end'!$B$6:$B$125,"&gt;="&amp;#REF!),IF($A29="PTS",SUMIFS('Back-end'!$H$6:$H$125,'Back-end'!$J$6:$J$125,AL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M29" s="153" t="e">
        <f>IF(OR($A29="PTG",$A29="PTA"),SUMIFS('Back-end'!$H$6:$H$125,'Back-end'!$J$6:$J$125,AM$27,'Back-end'!$B$6:$B$125,"&gt;="&amp;$E29,'Back-end'!$J$6:$J$125,#REF!,'Back-end'!$B$6:$B$125,"&lt;="&amp;#REF!,'Back-end'!$B$6:$B$125,"&lt;="&amp;$F29,'Back-end'!$B$6:$B$125,"&gt;="&amp;#REF!),IF($A29="PTS",SUMIFS('Back-end'!$H$6:$H$125,'Back-end'!$J$6:$J$125,AM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N29" s="153" t="e">
        <f>IF(OR($A29="PTG",$A29="PTA"),SUMIFS('Back-end'!$H$6:$H$125,'Back-end'!$J$6:$J$125,AN$27,'Back-end'!$B$6:$B$125,"&gt;="&amp;$E29,'Back-end'!$J$6:$J$125,#REF!,'Back-end'!$B$6:$B$125,"&lt;="&amp;#REF!,'Back-end'!$B$6:$B$125,"&lt;="&amp;$F29,'Back-end'!$B$6:$B$125,"&gt;="&amp;#REF!),IF($A29="PTS",SUMIFS('Back-end'!$H$6:$H$125,'Back-end'!$J$6:$J$125,AN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O29" s="153" t="e">
        <f>IF(OR($A29="PTG",$A29="PTA"),SUMIFS('Back-end'!$H$6:$H$125,'Back-end'!$J$6:$J$125,AO$27,'Back-end'!$B$6:$B$125,"&gt;="&amp;$E29,'Back-end'!$J$6:$J$125,#REF!,'Back-end'!$B$6:$B$125,"&lt;="&amp;#REF!,'Back-end'!$B$6:$B$125,"&lt;="&amp;$F29,'Back-end'!$B$6:$B$125,"&gt;="&amp;#REF!),IF($A29="PTS",SUMIFS('Back-end'!$H$6:$H$125,'Back-end'!$J$6:$J$125,AO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P29" s="153" t="e">
        <f>IF(OR($A29="PTG",$A29="PTA"),SUMIFS('Back-end'!$H$6:$H$125,'Back-end'!$J$6:$J$125,AP$27,'Back-end'!$B$6:$B$125,"&gt;="&amp;$E29,'Back-end'!$J$6:$J$125,#REF!,'Back-end'!$B$6:$B$125,"&lt;="&amp;#REF!,'Back-end'!$B$6:$B$125,"&lt;="&amp;$F29,'Back-end'!$B$6:$B$125,"&gt;="&amp;#REF!),IF($A29="PTS",SUMIFS('Back-end'!$H$6:$H$125,'Back-end'!$J$6:$J$125,AP$27,'Back-end'!$B$6:$B$125,"&gt;="&amp;$E29,'Back-end'!$J$6:$J$125,#REF!,'Back-end'!$B$6:$B$125,"&lt;="&amp;#REF!,'Back-end'!$B$6:$B$125,"&lt;="&amp;$F29,'Back-end'!$B$6:$B$125,"&gt;="&amp;#REF!,'Back-end'!$C$6:$C$125,"Summer"),0))</f>
        <v>#N/A</v>
      </c>
      <c r="AQ29" s="2" t="e">
        <f>IF(OR($A29="PTG",$A29="PTA"),SUMIFS('Back-end'!$I$6:$I$125,'Back-end'!$J$6:$J$125,W$27,'Back-end'!$B$6:$B$125,"&gt;="&amp;$E29,'Back-end'!$J$6:$J$125,I$16,'Back-end'!$B$6:$B$125,"&lt;="&amp;I$18,'Back-end'!$B$6:$B$125,"&lt;="&amp;$F29,'Back-end'!$B$6:$B$125,"&gt;="&amp;I$17),0)</f>
        <v>#N/A</v>
      </c>
      <c r="AR29" s="2" t="e">
        <f>IF(OR($A29="PTG",$A29="PTA"),SUMIFS('Back-end'!$I$6:$I$125,'Back-end'!$J$6:$J$125,X$27,'Back-end'!$B$6:$B$125,"&gt;="&amp;$E29,'Back-end'!$J$6:$J$125,J$16,'Back-end'!$B$6:$B$125,"&lt;="&amp;J$18,'Back-end'!$B$6:$B$125,"&lt;="&amp;$F29,'Back-end'!$B$6:$B$125,"&gt;="&amp;J$17),0)</f>
        <v>#N/A</v>
      </c>
      <c r="AS29" s="2" t="e">
        <f>IF(OR($A29="PTG",$A29="PTA"),SUMIFS('Back-end'!$I$6:$I$125,'Back-end'!$J$6:$J$125,Y$27,'Back-end'!$B$6:$B$125,"&gt;="&amp;$E29,'Back-end'!$J$6:$J$125,#REF!,'Back-end'!$B$6:$B$125,"&lt;="&amp;#REF!,'Back-end'!$B$6:$B$125,"&lt;="&amp;$F29,'Back-end'!$B$6:$B$125,"&gt;="&amp;#REF!),0)</f>
        <v>#N/A</v>
      </c>
      <c r="AT29" s="2" t="e">
        <f>IF(OR($A29="PTG",$A29="PTA"),SUMIFS('Back-end'!$I$6:$I$125,'Back-end'!$J$6:$J$125,Z$27,'Back-end'!$B$6:$B$125,"&gt;="&amp;$E29,'Back-end'!$J$6:$J$125,#REF!,'Back-end'!$B$6:$B$125,"&lt;="&amp;#REF!,'Back-end'!$B$6:$B$125,"&lt;="&amp;$F29,'Back-end'!$B$6:$B$125,"&gt;="&amp;#REF!),0)</f>
        <v>#N/A</v>
      </c>
      <c r="AU29" s="2" t="e">
        <f>IF(OR($A29="PTG",$A29="PTA"),SUMIFS('Back-end'!$I$6:$I$125,'Back-end'!$J$6:$J$125,AA$27,'Back-end'!$B$6:$B$125,"&gt;="&amp;$E29,'Back-end'!$J$6:$J$125,#REF!,'Back-end'!$B$6:$B$125,"&lt;="&amp;#REF!,'Back-end'!$B$6:$B$125,"&lt;="&amp;$F29,'Back-end'!$B$6:$B$125,"&gt;="&amp;#REF!),0)</f>
        <v>#N/A</v>
      </c>
      <c r="AV29" s="2" t="e">
        <f>IF(OR($A29="PTG",$A29="PTA"),SUMIFS('Back-end'!$I$6:$I$125,'Back-end'!$J$6:$J$125,AB$27,'Back-end'!$B$6:$B$125,"&gt;="&amp;$E29,'Back-end'!$J$6:$J$125,#REF!,'Back-end'!$B$6:$B$125,"&lt;="&amp;#REF!,'Back-end'!$B$6:$B$125,"&lt;="&amp;$F29,'Back-end'!$B$6:$B$125,"&gt;="&amp;#REF!),0)</f>
        <v>#N/A</v>
      </c>
      <c r="AW29" s="2" t="e">
        <f>IF(OR($A29="PTG",$A29="PTA"),SUMIFS('Back-end'!$I$6:$I$125,'Back-end'!$J$6:$J$125,AC$27,'Back-end'!$B$6:$B$125,"&gt;="&amp;$E29,'Back-end'!$J$6:$J$125,#REF!,'Back-end'!$B$6:$B$125,"&lt;="&amp;#REF!,'Back-end'!$B$6:$B$125,"&lt;="&amp;$F29,'Back-end'!$B$6:$B$125,"&gt;="&amp;#REF!),0)</f>
        <v>#N/A</v>
      </c>
      <c r="AX29" s="2" t="e">
        <f>IF(OR($A29="PTG",$A29="PTA"),SUMIFS('Back-end'!$I$6:$I$125,'Back-end'!$J$6:$J$125,AD$27,'Back-end'!$B$6:$B$125,"&gt;="&amp;$E29,'Back-end'!$J$6:$J$125,#REF!,'Back-end'!$B$6:$B$125,"&lt;="&amp;#REF!,'Back-end'!$B$6:$B$125,"&lt;="&amp;$F29,'Back-end'!$B$6:$B$125,"&gt;="&amp;#REF!),0)</f>
        <v>#N/A</v>
      </c>
      <c r="AY29" s="2" t="e">
        <f>IF(OR($A29="PTG",$A29="PTA"),SUMIFS('Back-end'!$I$6:$I$125,'Back-end'!$J$6:$J$125,AE$27,'Back-end'!$B$6:$B$125,"&gt;="&amp;$E29,'Back-end'!$J$6:$J$125,#REF!,'Back-end'!$B$6:$B$125,"&lt;="&amp;#REF!,'Back-end'!$B$6:$B$125,"&lt;="&amp;$F29,'Back-end'!$B$6:$B$125,"&gt;="&amp;#REF!),0)</f>
        <v>#N/A</v>
      </c>
      <c r="AZ29" s="2" t="e">
        <f>IF(OR($A29="PTG",$A29="PTA"),SUMIFS('Back-end'!$I$6:$I$125,'Back-end'!$J$6:$J$125,AF$27,'Back-end'!$B$6:$B$125,"&gt;="&amp;$E29,'Back-end'!$J$6:$J$125,#REF!,'Back-end'!$B$6:$B$125,"&lt;="&amp;#REF!,'Back-end'!$B$6:$B$125,"&lt;="&amp;$F29,'Back-end'!$B$6:$B$125,"&gt;="&amp;#REF!),0)</f>
        <v>#N/A</v>
      </c>
      <c r="BU29" s="268"/>
      <c r="BV29" s="268"/>
      <c r="BW29" s="267"/>
    </row>
    <row r="30" spans="1:75" hidden="1" outlineLevel="1" x14ac:dyDescent="0.25">
      <c r="A30" t="e">
        <f>VLOOKUP(C30,'Back-end'!$S$43:$T$55, 2, FALSE)</f>
        <v>#N/A</v>
      </c>
      <c r="B30" t="e">
        <f>VLOOKUP(C30,'Back-end'!$S$43:$U$55, 3, FALSE)</f>
        <v>#N/A</v>
      </c>
      <c r="C30" s="211" t="s">
        <v>242</v>
      </c>
      <c r="D30" s="211"/>
      <c r="E30" s="148"/>
      <c r="F30" s="4"/>
      <c r="G30" s="82"/>
      <c r="H30" s="147"/>
      <c r="I30" s="241">
        <v>0</v>
      </c>
      <c r="J30" s="241">
        <v>0</v>
      </c>
      <c r="K30" s="241"/>
      <c r="L30" s="242">
        <f t="shared" si="0"/>
        <v>0</v>
      </c>
      <c r="M30" s="153" t="e">
        <f>IF(N(I$17)&gt;0,IF(OR($A30="PTS",$A30="PTG",$A30="PTU"),IF(MONTH(I$17)&lt;7,($G30*$H30/$B30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30,'Back-end'!$B$6:$B$125,"&lt;="&amp;I$18,'Back-end'!$B$6:$B$125,"&lt;="&amp;$F30,'Back-end'!$B$6:$B$125,"&gt;="&amp;I$17))+
($G30*$H30/$B30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30,'Back-end'!$B$6:$B$125,"&lt;="&amp;I$18,'Back-end'!$B$6:$B$125,"&lt;="&amp;$F30,'Back-end'!$B$6:$B$125,"&gt;="&amp;I$17)),
IF(MONTH(I$18)=7,
(($G30*$H30/$B30*INDEX('Back-end'!$T$23:$X$29,MATCH("PTS",'Back-end'!$S$23:$S$29,0),MATCH(INDEX('Back-end'!$B$6:$E$125,MATCH(DATE(YEAR(I$18),MONTH(I$18),DAY(1)),'Back-end'!$B$6:$B$125,0),4),'Back-end'!$T$22:$X$22,0))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30,'Back-end'!$B$6:$B$125,"&lt;="&amp;I$18,'Back-end'!$B$6:$B$125,"&lt;="&amp;$F30,'Back-end'!$B$6:$B$125,"&gt;="&amp;I$17))+
($G30*$H30/$B30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30,'Back-end'!$B$6:$B$125,"&lt;="&amp;I$18,'Back-end'!$B$6:$B$125,"&lt;="&amp;$F30,'Back-end'!$B$6:$B$125,"&gt;="&amp;I$17))),
(($G30*$H30/$B30*INDEX('Back-end'!$T$23:$X$29,MATCH("PTS",'Back-end'!$S$23:$S$29,0),MATCH(INDEX('Back-end'!$B$6:$E$125,MATCH(DATE(YEAR(I$17),MONTH(I$17),DAY(1)),'Back-end'!$B$6:$B$125,0),4),'Back-end'!$T$22:$X$22,0))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30,'Back-end'!$B$6:$B$125,"&lt;="&amp;I$18,'Back-end'!$B$6:$B$125,"&lt;="&amp;$F30,'Back-end'!$B$6:$B$125,"&gt;="&amp;I$17))+
($G30*$H30/$B30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30,'Back-end'!$B$6:$B$125,"&lt;="&amp;I$18,'Back-end'!$B$6:$B$125,"&lt;="&amp;$F30,'Back-end'!$B$6:$B$125,"&gt;="&amp;I$17)))))),0)</f>
        <v>#N/A</v>
      </c>
      <c r="N30" s="153" t="e">
        <f>IF(N(J$17)&gt;0,IF(OR($A30="PTS",$A30="PTG",$A30="PTU"),IF(MONTH(J$17)&lt;7,($G30*$H30/$B30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30,'Back-end'!$B$6:$B$125,"&lt;="&amp;J$18,'Back-end'!$B$6:$B$125,"&lt;="&amp;$F30,'Back-end'!$B$6:$B$125,"&gt;="&amp;J$17))+
($G30*$H30/$B30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30,'Back-end'!$B$6:$B$125,"&lt;="&amp;J$18,'Back-end'!$B$6:$B$125,"&lt;="&amp;$F30,'Back-end'!$B$6:$B$125,"&gt;="&amp;J$17)),
IF(MONTH(J$18)=7,
(($G30*$H30/$B30*INDEX('Back-end'!$T$23:$X$29,MATCH("PTS",'Back-end'!$S$23:$S$29,0),MATCH(INDEX('Back-end'!$B$6:$E$125,MATCH(DATE(YEAR(J$18),MONTH(J$18),DAY(1)),'Back-end'!$B$6:$B$125,0),4),'Back-end'!$T$22:$X$22,0))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30,'Back-end'!$B$6:$B$125,"&lt;="&amp;J$18,'Back-end'!$B$6:$B$125,"&lt;="&amp;$F30,'Back-end'!$B$6:$B$125,"&gt;="&amp;J$17))+
($G30*$H30/$B30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30,'Back-end'!$B$6:$B$125,"&lt;="&amp;J$18,'Back-end'!$B$6:$B$125,"&lt;="&amp;$F30,'Back-end'!$B$6:$B$125,"&gt;="&amp;J$17))),
(($G30*$H30/$B30*INDEX('Back-end'!$T$23:$X$29,MATCH("PTS",'Back-end'!$S$23:$S$29,0),MATCH(INDEX('Back-end'!$B$6:$E$125,MATCH(DATE(YEAR(J$17),MONTH(J$17),DAY(1)),'Back-end'!$B$6:$B$125,0),4),'Back-end'!$T$22:$X$22,0))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30,'Back-end'!$B$6:$B$125,"&lt;="&amp;J$18,'Back-end'!$B$6:$B$125,"&lt;="&amp;$F30,'Back-end'!$B$6:$B$125,"&gt;="&amp;J$17))+
($G30*$H30/$B30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30,'Back-end'!$B$6:$B$125,"&lt;="&amp;J$18,'Back-end'!$B$6:$B$125,"&lt;="&amp;$F30,'Back-end'!$B$6:$B$125,"&gt;="&amp;J$17)))))),0)</f>
        <v>#N/A</v>
      </c>
      <c r="O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P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Q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R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S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T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U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V30" s="153" t="e">
        <f>IF(N(#REF!)&gt;0,IF(OR($A30="PTS",$A30="PTG",$A30="PTU"),IF(MONTH(#REF!)&lt;7,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,
IF(MONTH(#REF!)=7,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),
(($G30*$H30/$B30*INDEX('Back-end'!$T$23:$X$29,MATCH("PTS",'Back-end'!$S$23:$S$29,0),MATCH(INDEX('Back-end'!$B$6:$E$125,MATCH(DATE(YEAR(#REF!),MONTH(#REF!),DAY(1)),'Back-end'!$B$6:$B$125,0),4),'Back-end'!$T$22:$X$22,0))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30,'Back-end'!$B$6:$B$125,"&lt;="&amp;#REF!,'Back-end'!$B$6:$B$125,"&lt;="&amp;$F30,'Back-end'!$B$6:$B$125,"&gt;="&amp;#REF!))+
($G30*$H30/$B30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30,'Back-end'!$B$6:$B$125,"&lt;="&amp;#REF!,'Back-end'!$B$6:$B$125,"&lt;="&amp;$F30,'Back-end'!$B$6:$B$125,"&gt;="&amp;#REF!)))))),0)</f>
        <v>#REF!</v>
      </c>
      <c r="W30" s="2" t="e">
        <f>IF(OR($A30="PTG",$A30="PTA"),SUMIFS('Back-end'!$G$6:$G$125,'Back-end'!$J$6:$J$125,W$27,'Back-end'!$B$6:$B$125,"&gt;="&amp;$E30,'Back-end'!$J$6:$J$125,I$16,'Back-end'!$B$6:$B$125,"&lt;="&amp;I$18,'Back-end'!$B$6:$B$125,"&lt;="&amp;$F30,'Back-end'!$B$6:$B$125,"&gt;="&amp;I$17),0)</f>
        <v>#N/A</v>
      </c>
      <c r="X30" s="2" t="e">
        <f>IF(OR($A30="PTG",$A30="PTA"),SUMIFS('Back-end'!$G$6:$G$125,'Back-end'!$J$6:$J$125,X$27,'Back-end'!$B$6:$B$125,"&gt;="&amp;$E30,'Back-end'!$J$6:$J$125,J$16,'Back-end'!$B$6:$B$125,"&lt;="&amp;J$18,'Back-end'!$B$6:$B$125,"&lt;="&amp;$F30,'Back-end'!$B$6:$B$125,"&gt;="&amp;J$17),0)</f>
        <v>#N/A</v>
      </c>
      <c r="Y30" s="2" t="e">
        <f>IF(OR($A30="PTG",$A30="PTA"),SUMIFS('Back-end'!$G$6:$G$125,'Back-end'!$J$6:$J$125,Y$27,'Back-end'!$B$6:$B$125,"&gt;="&amp;$E30,'Back-end'!$J$6:$J$125,#REF!,'Back-end'!$B$6:$B$125,"&lt;="&amp;#REF!,'Back-end'!$B$6:$B$125,"&lt;="&amp;$F30,'Back-end'!$B$6:$B$125,"&gt;="&amp;#REF!),0)</f>
        <v>#N/A</v>
      </c>
      <c r="Z30" s="2" t="e">
        <f>IF(OR($A30="PTG",$A30="PTA"),SUMIFS('Back-end'!$G$6:$G$125,'Back-end'!$J$6:$J$125,Z$27,'Back-end'!$B$6:$B$125,"&gt;="&amp;$E30,'Back-end'!$J$6:$J$125,#REF!,'Back-end'!$B$6:$B$125,"&lt;="&amp;#REF!,'Back-end'!$B$6:$B$125,"&lt;="&amp;$F30,'Back-end'!$B$6:$B$125,"&gt;="&amp;#REF!),0)</f>
        <v>#N/A</v>
      </c>
      <c r="AA30" s="2" t="e">
        <f>IF(OR($A30="PTG",$A30="PTA"),SUMIFS('Back-end'!$G$6:$G$125,'Back-end'!$J$6:$J$125,AA$27,'Back-end'!$B$6:$B$125,"&gt;="&amp;$E30,'Back-end'!$J$6:$J$125,#REF!,'Back-end'!$B$6:$B$125,"&lt;="&amp;#REF!,'Back-end'!$B$6:$B$125,"&lt;="&amp;$F30,'Back-end'!$B$6:$B$125,"&gt;="&amp;#REF!),0)</f>
        <v>#N/A</v>
      </c>
      <c r="AB30" s="2" t="e">
        <f>IF(OR($A30="PTG",$A30="PTA"),SUMIFS('Back-end'!$G$6:$G$125,'Back-end'!$J$6:$J$125,AB$27,'Back-end'!$B$6:$B$125,"&gt;="&amp;$E30,'Back-end'!$J$6:$J$125,#REF!,'Back-end'!$B$6:$B$125,"&lt;="&amp;#REF!,'Back-end'!$B$6:$B$125,"&lt;="&amp;$F30,'Back-end'!$B$6:$B$125,"&gt;="&amp;#REF!),0)</f>
        <v>#N/A</v>
      </c>
      <c r="AC30" s="2" t="e">
        <f>IF(OR($A30="PTG",$A30="PTA"),SUMIFS('Back-end'!$G$6:$G$125,'Back-end'!$J$6:$J$125,AC$27,'Back-end'!$B$6:$B$125,"&gt;="&amp;$E30,'Back-end'!$J$6:$J$125,#REF!,'Back-end'!$B$6:$B$125,"&lt;="&amp;#REF!,'Back-end'!$B$6:$B$125,"&lt;="&amp;$F30,'Back-end'!$B$6:$B$125,"&gt;="&amp;#REF!),0)</f>
        <v>#N/A</v>
      </c>
      <c r="AD30" s="2" t="e">
        <f>IF(OR($A30="PTG",$A30="PTA"),SUMIFS('Back-end'!$G$6:$G$125,'Back-end'!$J$6:$J$125,AD$27,'Back-end'!$B$6:$B$125,"&gt;="&amp;$E30,'Back-end'!$J$6:$J$125,#REF!,'Back-end'!$B$6:$B$125,"&lt;="&amp;#REF!,'Back-end'!$B$6:$B$125,"&lt;="&amp;$F30,'Back-end'!$B$6:$B$125,"&gt;="&amp;#REF!),0)</f>
        <v>#N/A</v>
      </c>
      <c r="AE30" s="2" t="e">
        <f>IF(OR($A30="PTG",$A30="PTA"),SUMIFS('Back-end'!$G$6:$G$125,'Back-end'!$J$6:$J$125,AE$27,'Back-end'!$B$6:$B$125,"&gt;="&amp;$E30,'Back-end'!$J$6:$J$125,#REF!,'Back-end'!$B$6:$B$125,"&lt;="&amp;#REF!,'Back-end'!$B$6:$B$125,"&lt;="&amp;$F30,'Back-end'!$B$6:$B$125,"&gt;="&amp;#REF!),0)</f>
        <v>#N/A</v>
      </c>
      <c r="AF30" s="2" t="e">
        <f>IF(OR($A30="PTG",$A30="PTA"),SUMIFS('Back-end'!$G$6:$G$125,'Back-end'!$J$6:$J$125,AF$27,'Back-end'!$B$6:$B$125,"&gt;="&amp;$E30,'Back-end'!$J$6:$J$125,#REF!,'Back-end'!$B$6:$B$125,"&lt;="&amp;#REF!,'Back-end'!$B$6:$B$125,"&lt;="&amp;$F30,'Back-end'!$B$6:$B$125,"&gt;="&amp;#REF!),0)</f>
        <v>#N/A</v>
      </c>
      <c r="AG30" s="153" t="e">
        <f>IF(OR($A30="PTG",$A30="PTA"),SUMIFS('Back-end'!$H$6:$H$125,'Back-end'!$J$6:$J$125,AG$27,'Back-end'!$B$6:$B$125,"&gt;="&amp;$E30,'Back-end'!$J$6:$J$125,I$16,'Back-end'!$B$6:$B$125,"&lt;="&amp;I$18,'Back-end'!$B$6:$B$125,"&lt;="&amp;$F30,'Back-end'!$B$6:$B$125,"&gt;="&amp;I$17),IF($A30="PTS",SUMIFS('Back-end'!$H$6:$H$125,'Back-end'!$J$6:$J$125,AG$27,'Back-end'!$B$6:$B$125,"&gt;="&amp;$E30,'Back-end'!$J$6:$J$125,I$16,'Back-end'!$B$6:$B$125,"&lt;="&amp;I$18,'Back-end'!$B$6:$B$125,"&lt;="&amp;$F30,'Back-end'!$B$6:$B$125,"&gt;="&amp;I$17,'Back-end'!$C$6:$C$125,"Summer"),0))</f>
        <v>#N/A</v>
      </c>
      <c r="AH30" s="153" t="e">
        <f>IF(OR($A30="PTG",$A30="PTA"),SUMIFS('Back-end'!$H$6:$H$125,'Back-end'!$J$6:$J$125,AH$27,'Back-end'!$B$6:$B$125,"&gt;="&amp;$E30,'Back-end'!$J$6:$J$125,J$16,'Back-end'!$B$6:$B$125,"&lt;="&amp;J$18,'Back-end'!$B$6:$B$125,"&lt;="&amp;$F30,'Back-end'!$B$6:$B$125,"&gt;="&amp;J$17),IF($A30="PTS",SUMIFS('Back-end'!$H$6:$H$125,'Back-end'!$J$6:$J$125,AH$27,'Back-end'!$B$6:$B$125,"&gt;="&amp;$E30,'Back-end'!$J$6:$J$125,J$16,'Back-end'!$B$6:$B$125,"&lt;="&amp;J$18,'Back-end'!$B$6:$B$125,"&lt;="&amp;$F30,'Back-end'!$B$6:$B$125,"&gt;="&amp;J$17,'Back-end'!$C$6:$C$125,"Summer"),0))</f>
        <v>#N/A</v>
      </c>
      <c r="AI30" s="153" t="e">
        <f>IF(OR($A30="PTG",$A30="PTA"),SUMIFS('Back-end'!$H$6:$H$125,'Back-end'!$J$6:$J$125,AI$27,'Back-end'!$B$6:$B$125,"&gt;="&amp;$E30,'Back-end'!$J$6:$J$125,#REF!,'Back-end'!$B$6:$B$125,"&lt;="&amp;#REF!,'Back-end'!$B$6:$B$125,"&lt;="&amp;$F30,'Back-end'!$B$6:$B$125,"&gt;="&amp;#REF!),IF($A30="PTS",SUMIFS('Back-end'!$H$6:$H$125,'Back-end'!$J$6:$J$125,AI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J30" s="153" t="e">
        <f>IF(OR($A30="PTG",$A30="PTA"),SUMIFS('Back-end'!$H$6:$H$125,'Back-end'!$J$6:$J$125,AJ$27,'Back-end'!$B$6:$B$125,"&gt;="&amp;$E30,'Back-end'!$J$6:$J$125,#REF!,'Back-end'!$B$6:$B$125,"&lt;="&amp;#REF!,'Back-end'!$B$6:$B$125,"&lt;="&amp;$F30,'Back-end'!$B$6:$B$125,"&gt;="&amp;#REF!),IF($A30="PTS",SUMIFS('Back-end'!$H$6:$H$125,'Back-end'!$J$6:$J$125,AJ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K30" s="153" t="e">
        <f>IF(OR($A30="PTG",$A30="PTA"),SUMIFS('Back-end'!$H$6:$H$125,'Back-end'!$J$6:$J$125,AK$27,'Back-end'!$B$6:$B$125,"&gt;="&amp;$E30,'Back-end'!$J$6:$J$125,#REF!,'Back-end'!$B$6:$B$125,"&lt;="&amp;#REF!,'Back-end'!$B$6:$B$125,"&lt;="&amp;$F30,'Back-end'!$B$6:$B$125,"&gt;="&amp;#REF!),IF($A30="PTS",SUMIFS('Back-end'!$H$6:$H$125,'Back-end'!$J$6:$J$125,AK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L30" s="153" t="e">
        <f>IF(OR($A30="PTG",$A30="PTA"),SUMIFS('Back-end'!$H$6:$H$125,'Back-end'!$J$6:$J$125,AL$27,'Back-end'!$B$6:$B$125,"&gt;="&amp;$E30,'Back-end'!$J$6:$J$125,#REF!,'Back-end'!$B$6:$B$125,"&lt;="&amp;#REF!,'Back-end'!$B$6:$B$125,"&lt;="&amp;$F30,'Back-end'!$B$6:$B$125,"&gt;="&amp;#REF!),IF($A30="PTS",SUMIFS('Back-end'!$H$6:$H$125,'Back-end'!$J$6:$J$125,AL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M30" s="153" t="e">
        <f>IF(OR($A30="PTG",$A30="PTA"),SUMIFS('Back-end'!$H$6:$H$125,'Back-end'!$J$6:$J$125,AM$27,'Back-end'!$B$6:$B$125,"&gt;="&amp;$E30,'Back-end'!$J$6:$J$125,#REF!,'Back-end'!$B$6:$B$125,"&lt;="&amp;#REF!,'Back-end'!$B$6:$B$125,"&lt;="&amp;$F30,'Back-end'!$B$6:$B$125,"&gt;="&amp;#REF!),IF($A30="PTS",SUMIFS('Back-end'!$H$6:$H$125,'Back-end'!$J$6:$J$125,AM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N30" s="153" t="e">
        <f>IF(OR($A30="PTG",$A30="PTA"),SUMIFS('Back-end'!$H$6:$H$125,'Back-end'!$J$6:$J$125,AN$27,'Back-end'!$B$6:$B$125,"&gt;="&amp;$E30,'Back-end'!$J$6:$J$125,#REF!,'Back-end'!$B$6:$B$125,"&lt;="&amp;#REF!,'Back-end'!$B$6:$B$125,"&lt;="&amp;$F30,'Back-end'!$B$6:$B$125,"&gt;="&amp;#REF!),IF($A30="PTS",SUMIFS('Back-end'!$H$6:$H$125,'Back-end'!$J$6:$J$125,AN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O30" s="153" t="e">
        <f>IF(OR($A30="PTG",$A30="PTA"),SUMIFS('Back-end'!$H$6:$H$125,'Back-end'!$J$6:$J$125,AO$27,'Back-end'!$B$6:$B$125,"&gt;="&amp;$E30,'Back-end'!$J$6:$J$125,#REF!,'Back-end'!$B$6:$B$125,"&lt;="&amp;#REF!,'Back-end'!$B$6:$B$125,"&lt;="&amp;$F30,'Back-end'!$B$6:$B$125,"&gt;="&amp;#REF!),IF($A30="PTS",SUMIFS('Back-end'!$H$6:$H$125,'Back-end'!$J$6:$J$125,AO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P30" s="153" t="e">
        <f>IF(OR($A30="PTG",$A30="PTA"),SUMIFS('Back-end'!$H$6:$H$125,'Back-end'!$J$6:$J$125,AP$27,'Back-end'!$B$6:$B$125,"&gt;="&amp;$E30,'Back-end'!$J$6:$J$125,#REF!,'Back-end'!$B$6:$B$125,"&lt;="&amp;#REF!,'Back-end'!$B$6:$B$125,"&lt;="&amp;$F30,'Back-end'!$B$6:$B$125,"&gt;="&amp;#REF!),IF($A30="PTS",SUMIFS('Back-end'!$H$6:$H$125,'Back-end'!$J$6:$J$125,AP$27,'Back-end'!$B$6:$B$125,"&gt;="&amp;$E30,'Back-end'!$J$6:$J$125,#REF!,'Back-end'!$B$6:$B$125,"&lt;="&amp;#REF!,'Back-end'!$B$6:$B$125,"&lt;="&amp;$F30,'Back-end'!$B$6:$B$125,"&gt;="&amp;#REF!,'Back-end'!$C$6:$C$125,"Summer"),0))</f>
        <v>#N/A</v>
      </c>
      <c r="AQ30" s="2" t="e">
        <f>IF(OR($A30="PTG",$A30="PTA"),SUMIFS('Back-end'!$I$6:$I$125,'Back-end'!$J$6:$J$125,W$27,'Back-end'!$B$6:$B$125,"&gt;="&amp;$E30,'Back-end'!$J$6:$J$125,I$16,'Back-end'!$B$6:$B$125,"&lt;="&amp;I$18,'Back-end'!$B$6:$B$125,"&lt;="&amp;$F30,'Back-end'!$B$6:$B$125,"&gt;="&amp;I$17),0)</f>
        <v>#N/A</v>
      </c>
      <c r="AR30" s="2" t="e">
        <f>IF(OR($A30="PTG",$A30="PTA"),SUMIFS('Back-end'!$I$6:$I$125,'Back-end'!$J$6:$J$125,X$27,'Back-end'!$B$6:$B$125,"&gt;="&amp;$E30,'Back-end'!$J$6:$J$125,J$16,'Back-end'!$B$6:$B$125,"&lt;="&amp;J$18,'Back-end'!$B$6:$B$125,"&lt;="&amp;$F30,'Back-end'!$B$6:$B$125,"&gt;="&amp;J$17),0)</f>
        <v>#N/A</v>
      </c>
      <c r="AS30" s="2" t="e">
        <f>IF(OR($A30="PTG",$A30="PTA"),SUMIFS('Back-end'!$I$6:$I$125,'Back-end'!$J$6:$J$125,Y$27,'Back-end'!$B$6:$B$125,"&gt;="&amp;$E30,'Back-end'!$J$6:$J$125,#REF!,'Back-end'!$B$6:$B$125,"&lt;="&amp;#REF!,'Back-end'!$B$6:$B$125,"&lt;="&amp;$F30,'Back-end'!$B$6:$B$125,"&gt;="&amp;#REF!),0)</f>
        <v>#N/A</v>
      </c>
      <c r="AT30" s="2" t="e">
        <f>IF(OR($A30="PTG",$A30="PTA"),SUMIFS('Back-end'!$I$6:$I$125,'Back-end'!$J$6:$J$125,Z$27,'Back-end'!$B$6:$B$125,"&gt;="&amp;$E30,'Back-end'!$J$6:$J$125,#REF!,'Back-end'!$B$6:$B$125,"&lt;="&amp;#REF!,'Back-end'!$B$6:$B$125,"&lt;="&amp;$F30,'Back-end'!$B$6:$B$125,"&gt;="&amp;#REF!),0)</f>
        <v>#N/A</v>
      </c>
      <c r="AU30" s="2" t="e">
        <f>IF(OR($A30="PTG",$A30="PTA"),SUMIFS('Back-end'!$I$6:$I$125,'Back-end'!$J$6:$J$125,AA$27,'Back-end'!$B$6:$B$125,"&gt;="&amp;$E30,'Back-end'!$J$6:$J$125,#REF!,'Back-end'!$B$6:$B$125,"&lt;="&amp;#REF!,'Back-end'!$B$6:$B$125,"&lt;="&amp;$F30,'Back-end'!$B$6:$B$125,"&gt;="&amp;#REF!),0)</f>
        <v>#N/A</v>
      </c>
      <c r="AV30" s="2" t="e">
        <f>IF(OR($A30="PTG",$A30="PTA"),SUMIFS('Back-end'!$I$6:$I$125,'Back-end'!$J$6:$J$125,AB$27,'Back-end'!$B$6:$B$125,"&gt;="&amp;$E30,'Back-end'!$J$6:$J$125,#REF!,'Back-end'!$B$6:$B$125,"&lt;="&amp;#REF!,'Back-end'!$B$6:$B$125,"&lt;="&amp;$F30,'Back-end'!$B$6:$B$125,"&gt;="&amp;#REF!),0)</f>
        <v>#N/A</v>
      </c>
      <c r="AW30" s="2" t="e">
        <f>IF(OR($A30="PTG",$A30="PTA"),SUMIFS('Back-end'!$I$6:$I$125,'Back-end'!$J$6:$J$125,AC$27,'Back-end'!$B$6:$B$125,"&gt;="&amp;$E30,'Back-end'!$J$6:$J$125,#REF!,'Back-end'!$B$6:$B$125,"&lt;="&amp;#REF!,'Back-end'!$B$6:$B$125,"&lt;="&amp;$F30,'Back-end'!$B$6:$B$125,"&gt;="&amp;#REF!),0)</f>
        <v>#N/A</v>
      </c>
      <c r="AX30" s="2" t="e">
        <f>IF(OR($A30="PTG",$A30="PTA"),SUMIFS('Back-end'!$I$6:$I$125,'Back-end'!$J$6:$J$125,AD$27,'Back-end'!$B$6:$B$125,"&gt;="&amp;$E30,'Back-end'!$J$6:$J$125,#REF!,'Back-end'!$B$6:$B$125,"&lt;="&amp;#REF!,'Back-end'!$B$6:$B$125,"&lt;="&amp;$F30,'Back-end'!$B$6:$B$125,"&gt;="&amp;#REF!),0)</f>
        <v>#N/A</v>
      </c>
      <c r="AY30" s="2" t="e">
        <f>IF(OR($A30="PTG",$A30="PTA"),SUMIFS('Back-end'!$I$6:$I$125,'Back-end'!$J$6:$J$125,AE$27,'Back-end'!$B$6:$B$125,"&gt;="&amp;$E30,'Back-end'!$J$6:$J$125,#REF!,'Back-end'!$B$6:$B$125,"&lt;="&amp;#REF!,'Back-end'!$B$6:$B$125,"&lt;="&amp;$F30,'Back-end'!$B$6:$B$125,"&gt;="&amp;#REF!),0)</f>
        <v>#N/A</v>
      </c>
      <c r="AZ30" s="2" t="e">
        <f>IF(OR($A30="PTG",$A30="PTA"),SUMIFS('Back-end'!$I$6:$I$125,'Back-end'!$J$6:$J$125,AF$27,'Back-end'!$B$6:$B$125,"&gt;="&amp;$E30,'Back-end'!$J$6:$J$125,#REF!,'Back-end'!$B$6:$B$125,"&lt;="&amp;#REF!,'Back-end'!$B$6:$B$125,"&lt;="&amp;$F30,'Back-end'!$B$6:$B$125,"&gt;="&amp;#REF!),0)</f>
        <v>#N/A</v>
      </c>
      <c r="BU30" s="268"/>
      <c r="BV30" s="268"/>
      <c r="BW30" s="267"/>
    </row>
    <row r="31" spans="1:75" hidden="1" outlineLevel="1" x14ac:dyDescent="0.25">
      <c r="A31" t="e">
        <f>VLOOKUP(C31,'Back-end'!$S$43:$T$55, 2, FALSE)</f>
        <v>#N/A</v>
      </c>
      <c r="B31" t="e">
        <f>VLOOKUP(C31,'Back-end'!$S$43:$U$55, 3, FALSE)</f>
        <v>#N/A</v>
      </c>
      <c r="C31" s="211" t="s">
        <v>242</v>
      </c>
      <c r="D31" s="211"/>
      <c r="E31" s="148"/>
      <c r="F31" s="4"/>
      <c r="G31" s="82"/>
      <c r="H31" s="147"/>
      <c r="I31" s="241">
        <v>0</v>
      </c>
      <c r="J31" s="241">
        <v>0</v>
      </c>
      <c r="K31" s="241"/>
      <c r="L31" s="242">
        <f t="shared" si="0"/>
        <v>0</v>
      </c>
      <c r="M31" s="153" t="e">
        <f>IF(N(I$17)&gt;0,IF(OR($A31="PTS",$A31="PTG",$A31="PTU"),IF(MONTH(I$17)&lt;7,($G31*$H31/$B31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31,'Back-end'!$B$6:$B$125,"&lt;="&amp;I$18,'Back-end'!$B$6:$B$125,"&lt;="&amp;$F31,'Back-end'!$B$6:$B$125,"&gt;="&amp;I$17))+
($G31*$H31/$B31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31,'Back-end'!$B$6:$B$125,"&lt;="&amp;I$18,'Back-end'!$B$6:$B$125,"&lt;="&amp;$F31,'Back-end'!$B$6:$B$125,"&gt;="&amp;I$17)),
IF(MONTH(I$18)=7,
(($G31*$H31/$B31*INDEX('Back-end'!$T$23:$X$29,MATCH("PTS",'Back-end'!$S$23:$S$29,0),MATCH(INDEX('Back-end'!$B$6:$E$125,MATCH(DATE(YEAR(I$18),MONTH(I$18),DAY(1)),'Back-end'!$B$6:$B$125,0),4),'Back-end'!$T$22:$X$22,0))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31,'Back-end'!$B$6:$B$125,"&lt;="&amp;I$18,'Back-end'!$B$6:$B$125,"&lt;="&amp;$F31,'Back-end'!$B$6:$B$125,"&gt;="&amp;I$17))+
($G31*$H31/$B31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31,'Back-end'!$B$6:$B$125,"&lt;="&amp;I$18,'Back-end'!$B$6:$B$125,"&lt;="&amp;$F31,'Back-end'!$B$6:$B$125,"&gt;="&amp;I$17))),
(($G31*$H31/$B31*INDEX('Back-end'!$T$23:$X$29,MATCH("PTS",'Back-end'!$S$23:$S$29,0),MATCH(INDEX('Back-end'!$B$6:$E$125,MATCH(DATE(YEAR(I$17),MONTH(I$17),DAY(1)),'Back-end'!$B$6:$B$125,0),4),'Back-end'!$T$22:$X$22,0))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31,'Back-end'!$B$6:$B$125,"&lt;="&amp;I$18,'Back-end'!$B$6:$B$125,"&lt;="&amp;$F31,'Back-end'!$B$6:$B$125,"&gt;="&amp;I$17))+
($G31*$H31/$B31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31,'Back-end'!$B$6:$B$125,"&lt;="&amp;I$18,'Back-end'!$B$6:$B$125,"&lt;="&amp;$F31,'Back-end'!$B$6:$B$125,"&gt;="&amp;I$17)))))),0)</f>
        <v>#N/A</v>
      </c>
      <c r="N31" s="153" t="e">
        <f>IF(N(J$17)&gt;0,IF(OR($A31="PTS",$A31="PTG",$A31="PTU"),IF(MONTH(J$17)&lt;7,($G31*$H31/$B31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31,'Back-end'!$B$6:$B$125,"&lt;="&amp;J$18,'Back-end'!$B$6:$B$125,"&lt;="&amp;$F31,'Back-end'!$B$6:$B$125,"&gt;="&amp;J$17))+
($G31*$H31/$B31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31,'Back-end'!$B$6:$B$125,"&lt;="&amp;J$18,'Back-end'!$B$6:$B$125,"&lt;="&amp;$F31,'Back-end'!$B$6:$B$125,"&gt;="&amp;J$17)),
IF(MONTH(J$18)=7,
(($G31*$H31/$B31*INDEX('Back-end'!$T$23:$X$29,MATCH("PTS",'Back-end'!$S$23:$S$29,0),MATCH(INDEX('Back-end'!$B$6:$E$125,MATCH(DATE(YEAR(J$18),MONTH(J$18),DAY(1)),'Back-end'!$B$6:$B$125,0),4),'Back-end'!$T$22:$X$22,0))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31,'Back-end'!$B$6:$B$125,"&lt;="&amp;J$18,'Back-end'!$B$6:$B$125,"&lt;="&amp;$F31,'Back-end'!$B$6:$B$125,"&gt;="&amp;J$17))+
($G31*$H31/$B31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31,'Back-end'!$B$6:$B$125,"&lt;="&amp;J$18,'Back-end'!$B$6:$B$125,"&lt;="&amp;$F31,'Back-end'!$B$6:$B$125,"&gt;="&amp;J$17))),
(($G31*$H31/$B31*INDEX('Back-end'!$T$23:$X$29,MATCH("PTS",'Back-end'!$S$23:$S$29,0),MATCH(INDEX('Back-end'!$B$6:$E$125,MATCH(DATE(YEAR(J$17),MONTH(J$17),DAY(1)),'Back-end'!$B$6:$B$125,0),4),'Back-end'!$T$22:$X$22,0))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31,'Back-end'!$B$6:$B$125,"&lt;="&amp;J$18,'Back-end'!$B$6:$B$125,"&lt;="&amp;$F31,'Back-end'!$B$6:$B$125,"&gt;="&amp;J$17))+
($G31*$H31/$B31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31,'Back-end'!$B$6:$B$125,"&lt;="&amp;J$18,'Back-end'!$B$6:$B$125,"&lt;="&amp;$F31,'Back-end'!$B$6:$B$125,"&gt;="&amp;J$17)))))),0)</f>
        <v>#N/A</v>
      </c>
      <c r="O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P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Q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R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S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T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U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V31" s="153" t="e">
        <f>IF(N(#REF!)&gt;0,IF(OR($A31="PTS",$A31="PTG",$A31="PTU"),IF(MONTH(#REF!)&lt;7,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,
IF(MONTH(#REF!)=7,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),
(($G31*$H31/$B31*INDEX('Back-end'!$T$23:$X$29,MATCH("PTS",'Back-end'!$S$23:$S$29,0),MATCH(INDEX('Back-end'!$B$6:$E$125,MATCH(DATE(YEAR(#REF!),MONTH(#REF!),DAY(1)),'Back-end'!$B$6:$B$125,0),4),'Back-end'!$T$22:$X$22,0))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31,'Back-end'!$B$6:$B$125,"&lt;="&amp;#REF!,'Back-end'!$B$6:$B$125,"&lt;="&amp;$F31,'Back-end'!$B$6:$B$125,"&gt;="&amp;#REF!))+
($G31*$H31/$B31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31,'Back-end'!$B$6:$B$125,"&lt;="&amp;#REF!,'Back-end'!$B$6:$B$125,"&lt;="&amp;$F31,'Back-end'!$B$6:$B$125,"&gt;="&amp;#REF!)))))),0)</f>
        <v>#REF!</v>
      </c>
      <c r="W31" s="2" t="e">
        <f>IF(OR($A31="PTG",$A31="PTA"),SUMIFS('Back-end'!$G$6:$G$125,'Back-end'!$J$6:$J$125,W$27,'Back-end'!$B$6:$B$125,"&gt;="&amp;$E31,'Back-end'!$J$6:$J$125,I$16,'Back-end'!$B$6:$B$125,"&lt;="&amp;I$18,'Back-end'!$B$6:$B$125,"&lt;="&amp;$F31,'Back-end'!$B$6:$B$125,"&gt;="&amp;I$17),0)</f>
        <v>#N/A</v>
      </c>
      <c r="X31" s="2" t="e">
        <f>IF(OR($A31="PTG",$A31="PTA"),SUMIFS('Back-end'!$G$6:$G$125,'Back-end'!$J$6:$J$125,X$27,'Back-end'!$B$6:$B$125,"&gt;="&amp;$E31,'Back-end'!$J$6:$J$125,J$16,'Back-end'!$B$6:$B$125,"&lt;="&amp;J$18,'Back-end'!$B$6:$B$125,"&lt;="&amp;$F31,'Back-end'!$B$6:$B$125,"&gt;="&amp;J$17),0)</f>
        <v>#N/A</v>
      </c>
      <c r="Y31" s="2" t="e">
        <f>IF(OR($A31="PTG",$A31="PTA"),SUMIFS('Back-end'!$G$6:$G$125,'Back-end'!$J$6:$J$125,Y$27,'Back-end'!$B$6:$B$125,"&gt;="&amp;$E31,'Back-end'!$J$6:$J$125,#REF!,'Back-end'!$B$6:$B$125,"&lt;="&amp;#REF!,'Back-end'!$B$6:$B$125,"&lt;="&amp;$F31,'Back-end'!$B$6:$B$125,"&gt;="&amp;#REF!),0)</f>
        <v>#N/A</v>
      </c>
      <c r="Z31" s="2" t="e">
        <f>IF(OR($A31="PTG",$A31="PTA"),SUMIFS('Back-end'!$G$6:$G$125,'Back-end'!$J$6:$J$125,Z$27,'Back-end'!$B$6:$B$125,"&gt;="&amp;$E31,'Back-end'!$J$6:$J$125,#REF!,'Back-end'!$B$6:$B$125,"&lt;="&amp;#REF!,'Back-end'!$B$6:$B$125,"&lt;="&amp;$F31,'Back-end'!$B$6:$B$125,"&gt;="&amp;#REF!),0)</f>
        <v>#N/A</v>
      </c>
      <c r="AA31" s="2" t="e">
        <f>IF(OR($A31="PTG",$A31="PTA"),SUMIFS('Back-end'!$G$6:$G$125,'Back-end'!$J$6:$J$125,AA$27,'Back-end'!$B$6:$B$125,"&gt;="&amp;$E31,'Back-end'!$J$6:$J$125,#REF!,'Back-end'!$B$6:$B$125,"&lt;="&amp;#REF!,'Back-end'!$B$6:$B$125,"&lt;="&amp;$F31,'Back-end'!$B$6:$B$125,"&gt;="&amp;#REF!),0)</f>
        <v>#N/A</v>
      </c>
      <c r="AB31" s="2" t="e">
        <f>IF(OR($A31="PTG",$A31="PTA"),SUMIFS('Back-end'!$G$6:$G$125,'Back-end'!$J$6:$J$125,AB$27,'Back-end'!$B$6:$B$125,"&gt;="&amp;$E31,'Back-end'!$J$6:$J$125,#REF!,'Back-end'!$B$6:$B$125,"&lt;="&amp;#REF!,'Back-end'!$B$6:$B$125,"&lt;="&amp;$F31,'Back-end'!$B$6:$B$125,"&gt;="&amp;#REF!),0)</f>
        <v>#N/A</v>
      </c>
      <c r="AC31" s="2" t="e">
        <f>IF(OR($A31="PTG",$A31="PTA"),SUMIFS('Back-end'!$G$6:$G$125,'Back-end'!$J$6:$J$125,AC$27,'Back-end'!$B$6:$B$125,"&gt;="&amp;$E31,'Back-end'!$J$6:$J$125,#REF!,'Back-end'!$B$6:$B$125,"&lt;="&amp;#REF!,'Back-end'!$B$6:$B$125,"&lt;="&amp;$F31,'Back-end'!$B$6:$B$125,"&gt;="&amp;#REF!),0)</f>
        <v>#N/A</v>
      </c>
      <c r="AD31" s="2" t="e">
        <f>IF(OR($A31="PTG",$A31="PTA"),SUMIFS('Back-end'!$G$6:$G$125,'Back-end'!$J$6:$J$125,AD$27,'Back-end'!$B$6:$B$125,"&gt;="&amp;$E31,'Back-end'!$J$6:$J$125,#REF!,'Back-end'!$B$6:$B$125,"&lt;="&amp;#REF!,'Back-end'!$B$6:$B$125,"&lt;="&amp;$F31,'Back-end'!$B$6:$B$125,"&gt;="&amp;#REF!),0)</f>
        <v>#N/A</v>
      </c>
      <c r="AE31" s="2" t="e">
        <f>IF(OR($A31="PTG",$A31="PTA"),SUMIFS('Back-end'!$G$6:$G$125,'Back-end'!$J$6:$J$125,AE$27,'Back-end'!$B$6:$B$125,"&gt;="&amp;$E31,'Back-end'!$J$6:$J$125,#REF!,'Back-end'!$B$6:$B$125,"&lt;="&amp;#REF!,'Back-end'!$B$6:$B$125,"&lt;="&amp;$F31,'Back-end'!$B$6:$B$125,"&gt;="&amp;#REF!),0)</f>
        <v>#N/A</v>
      </c>
      <c r="AF31" s="2" t="e">
        <f>IF(OR($A31="PTG",$A31="PTA"),SUMIFS('Back-end'!$G$6:$G$125,'Back-end'!$J$6:$J$125,AF$27,'Back-end'!$B$6:$B$125,"&gt;="&amp;$E31,'Back-end'!$J$6:$J$125,#REF!,'Back-end'!$B$6:$B$125,"&lt;="&amp;#REF!,'Back-end'!$B$6:$B$125,"&lt;="&amp;$F31,'Back-end'!$B$6:$B$125,"&gt;="&amp;#REF!),0)</f>
        <v>#N/A</v>
      </c>
      <c r="AG31" s="153" t="e">
        <f>IF(OR($A31="PTG",$A31="PTA"),SUMIFS('Back-end'!$H$6:$H$125,'Back-end'!$J$6:$J$125,AG$27,'Back-end'!$B$6:$B$125,"&gt;="&amp;$E31,'Back-end'!$J$6:$J$125,I$16,'Back-end'!$B$6:$B$125,"&lt;="&amp;I$18,'Back-end'!$B$6:$B$125,"&lt;="&amp;$F31,'Back-end'!$B$6:$B$125,"&gt;="&amp;I$17),IF($A31="PTS",SUMIFS('Back-end'!$H$6:$H$125,'Back-end'!$J$6:$J$125,AG$27,'Back-end'!$B$6:$B$125,"&gt;="&amp;$E31,'Back-end'!$J$6:$J$125,I$16,'Back-end'!$B$6:$B$125,"&lt;="&amp;I$18,'Back-end'!$B$6:$B$125,"&lt;="&amp;$F31,'Back-end'!$B$6:$B$125,"&gt;="&amp;I$17,'Back-end'!$C$6:$C$125,"Summer"),0))</f>
        <v>#N/A</v>
      </c>
      <c r="AH31" s="153" t="e">
        <f>IF(OR($A31="PTG",$A31="PTA"),SUMIFS('Back-end'!$H$6:$H$125,'Back-end'!$J$6:$J$125,AH$27,'Back-end'!$B$6:$B$125,"&gt;="&amp;$E31,'Back-end'!$J$6:$J$125,J$16,'Back-end'!$B$6:$B$125,"&lt;="&amp;J$18,'Back-end'!$B$6:$B$125,"&lt;="&amp;$F31,'Back-end'!$B$6:$B$125,"&gt;="&amp;J$17),IF($A31="PTS",SUMIFS('Back-end'!$H$6:$H$125,'Back-end'!$J$6:$J$125,AH$27,'Back-end'!$B$6:$B$125,"&gt;="&amp;$E31,'Back-end'!$J$6:$J$125,J$16,'Back-end'!$B$6:$B$125,"&lt;="&amp;J$18,'Back-end'!$B$6:$B$125,"&lt;="&amp;$F31,'Back-end'!$B$6:$B$125,"&gt;="&amp;J$17,'Back-end'!$C$6:$C$125,"Summer"),0))</f>
        <v>#N/A</v>
      </c>
      <c r="AI31" s="153" t="e">
        <f>IF(OR($A31="PTG",$A31="PTA"),SUMIFS('Back-end'!$H$6:$H$125,'Back-end'!$J$6:$J$125,AI$27,'Back-end'!$B$6:$B$125,"&gt;="&amp;$E31,'Back-end'!$J$6:$J$125,#REF!,'Back-end'!$B$6:$B$125,"&lt;="&amp;#REF!,'Back-end'!$B$6:$B$125,"&lt;="&amp;$F31,'Back-end'!$B$6:$B$125,"&gt;="&amp;#REF!),IF($A31="PTS",SUMIFS('Back-end'!$H$6:$H$125,'Back-end'!$J$6:$J$125,AI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J31" s="153" t="e">
        <f>IF(OR($A31="PTG",$A31="PTA"),SUMIFS('Back-end'!$H$6:$H$125,'Back-end'!$J$6:$J$125,AJ$27,'Back-end'!$B$6:$B$125,"&gt;="&amp;$E31,'Back-end'!$J$6:$J$125,#REF!,'Back-end'!$B$6:$B$125,"&lt;="&amp;#REF!,'Back-end'!$B$6:$B$125,"&lt;="&amp;$F31,'Back-end'!$B$6:$B$125,"&gt;="&amp;#REF!),IF($A31="PTS",SUMIFS('Back-end'!$H$6:$H$125,'Back-end'!$J$6:$J$125,AJ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K31" s="153" t="e">
        <f>IF(OR($A31="PTG",$A31="PTA"),SUMIFS('Back-end'!$H$6:$H$125,'Back-end'!$J$6:$J$125,AK$27,'Back-end'!$B$6:$B$125,"&gt;="&amp;$E31,'Back-end'!$J$6:$J$125,#REF!,'Back-end'!$B$6:$B$125,"&lt;="&amp;#REF!,'Back-end'!$B$6:$B$125,"&lt;="&amp;$F31,'Back-end'!$B$6:$B$125,"&gt;="&amp;#REF!),IF($A31="PTS",SUMIFS('Back-end'!$H$6:$H$125,'Back-end'!$J$6:$J$125,AK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L31" s="153" t="e">
        <f>IF(OR($A31="PTG",$A31="PTA"),SUMIFS('Back-end'!$H$6:$H$125,'Back-end'!$J$6:$J$125,AL$27,'Back-end'!$B$6:$B$125,"&gt;="&amp;$E31,'Back-end'!$J$6:$J$125,#REF!,'Back-end'!$B$6:$B$125,"&lt;="&amp;#REF!,'Back-end'!$B$6:$B$125,"&lt;="&amp;$F31,'Back-end'!$B$6:$B$125,"&gt;="&amp;#REF!),IF($A31="PTS",SUMIFS('Back-end'!$H$6:$H$125,'Back-end'!$J$6:$J$125,AL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M31" s="153" t="e">
        <f>IF(OR($A31="PTG",$A31="PTA"),SUMIFS('Back-end'!$H$6:$H$125,'Back-end'!$J$6:$J$125,AM$27,'Back-end'!$B$6:$B$125,"&gt;="&amp;$E31,'Back-end'!$J$6:$J$125,#REF!,'Back-end'!$B$6:$B$125,"&lt;="&amp;#REF!,'Back-end'!$B$6:$B$125,"&lt;="&amp;$F31,'Back-end'!$B$6:$B$125,"&gt;="&amp;#REF!),IF($A31="PTS",SUMIFS('Back-end'!$H$6:$H$125,'Back-end'!$J$6:$J$125,AM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N31" s="153" t="e">
        <f>IF(OR($A31="PTG",$A31="PTA"),SUMIFS('Back-end'!$H$6:$H$125,'Back-end'!$J$6:$J$125,AN$27,'Back-end'!$B$6:$B$125,"&gt;="&amp;$E31,'Back-end'!$J$6:$J$125,#REF!,'Back-end'!$B$6:$B$125,"&lt;="&amp;#REF!,'Back-end'!$B$6:$B$125,"&lt;="&amp;$F31,'Back-end'!$B$6:$B$125,"&gt;="&amp;#REF!),IF($A31="PTS",SUMIFS('Back-end'!$H$6:$H$125,'Back-end'!$J$6:$J$125,AN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O31" s="153" t="e">
        <f>IF(OR($A31="PTG",$A31="PTA"),SUMIFS('Back-end'!$H$6:$H$125,'Back-end'!$J$6:$J$125,AO$27,'Back-end'!$B$6:$B$125,"&gt;="&amp;$E31,'Back-end'!$J$6:$J$125,#REF!,'Back-end'!$B$6:$B$125,"&lt;="&amp;#REF!,'Back-end'!$B$6:$B$125,"&lt;="&amp;$F31,'Back-end'!$B$6:$B$125,"&gt;="&amp;#REF!),IF($A31="PTS",SUMIFS('Back-end'!$H$6:$H$125,'Back-end'!$J$6:$J$125,AO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P31" s="153" t="e">
        <f>IF(OR($A31="PTG",$A31="PTA"),SUMIFS('Back-end'!$H$6:$H$125,'Back-end'!$J$6:$J$125,AP$27,'Back-end'!$B$6:$B$125,"&gt;="&amp;$E31,'Back-end'!$J$6:$J$125,#REF!,'Back-end'!$B$6:$B$125,"&lt;="&amp;#REF!,'Back-end'!$B$6:$B$125,"&lt;="&amp;$F31,'Back-end'!$B$6:$B$125,"&gt;="&amp;#REF!),IF($A31="PTS",SUMIFS('Back-end'!$H$6:$H$125,'Back-end'!$J$6:$J$125,AP$27,'Back-end'!$B$6:$B$125,"&gt;="&amp;$E31,'Back-end'!$J$6:$J$125,#REF!,'Back-end'!$B$6:$B$125,"&lt;="&amp;#REF!,'Back-end'!$B$6:$B$125,"&lt;="&amp;$F31,'Back-end'!$B$6:$B$125,"&gt;="&amp;#REF!,'Back-end'!$C$6:$C$125,"Summer"),0))</f>
        <v>#N/A</v>
      </c>
      <c r="AQ31" s="2" t="e">
        <f>IF(OR($A31="PTG",$A31="PTA"),SUMIFS('Back-end'!$I$6:$I$125,'Back-end'!$J$6:$J$125,W$27,'Back-end'!$B$6:$B$125,"&gt;="&amp;$E31,'Back-end'!$J$6:$J$125,I$16,'Back-end'!$B$6:$B$125,"&lt;="&amp;I$18,'Back-end'!$B$6:$B$125,"&lt;="&amp;$F31,'Back-end'!$B$6:$B$125,"&gt;="&amp;I$17),0)</f>
        <v>#N/A</v>
      </c>
      <c r="AR31" s="2" t="e">
        <f>IF(OR($A31="PTG",$A31="PTA"),SUMIFS('Back-end'!$I$6:$I$125,'Back-end'!$J$6:$J$125,X$27,'Back-end'!$B$6:$B$125,"&gt;="&amp;$E31,'Back-end'!$J$6:$J$125,J$16,'Back-end'!$B$6:$B$125,"&lt;="&amp;J$18,'Back-end'!$B$6:$B$125,"&lt;="&amp;$F31,'Back-end'!$B$6:$B$125,"&gt;="&amp;J$17),0)</f>
        <v>#N/A</v>
      </c>
      <c r="AS31" s="2" t="e">
        <f>IF(OR($A31="PTG",$A31="PTA"),SUMIFS('Back-end'!$I$6:$I$125,'Back-end'!$J$6:$J$125,Y$27,'Back-end'!$B$6:$B$125,"&gt;="&amp;$E31,'Back-end'!$J$6:$J$125,#REF!,'Back-end'!$B$6:$B$125,"&lt;="&amp;#REF!,'Back-end'!$B$6:$B$125,"&lt;="&amp;$F31,'Back-end'!$B$6:$B$125,"&gt;="&amp;#REF!),0)</f>
        <v>#N/A</v>
      </c>
      <c r="AT31" s="2" t="e">
        <f>IF(OR($A31="PTG",$A31="PTA"),SUMIFS('Back-end'!$I$6:$I$125,'Back-end'!$J$6:$J$125,Z$27,'Back-end'!$B$6:$B$125,"&gt;="&amp;$E31,'Back-end'!$J$6:$J$125,#REF!,'Back-end'!$B$6:$B$125,"&lt;="&amp;#REF!,'Back-end'!$B$6:$B$125,"&lt;="&amp;$F31,'Back-end'!$B$6:$B$125,"&gt;="&amp;#REF!),0)</f>
        <v>#N/A</v>
      </c>
      <c r="AU31" s="2" t="e">
        <f>IF(OR($A31="PTG",$A31="PTA"),SUMIFS('Back-end'!$I$6:$I$125,'Back-end'!$J$6:$J$125,AA$27,'Back-end'!$B$6:$B$125,"&gt;="&amp;$E31,'Back-end'!$J$6:$J$125,#REF!,'Back-end'!$B$6:$B$125,"&lt;="&amp;#REF!,'Back-end'!$B$6:$B$125,"&lt;="&amp;$F31,'Back-end'!$B$6:$B$125,"&gt;="&amp;#REF!),0)</f>
        <v>#N/A</v>
      </c>
      <c r="AV31" s="2" t="e">
        <f>IF(OR($A31="PTG",$A31="PTA"),SUMIFS('Back-end'!$I$6:$I$125,'Back-end'!$J$6:$J$125,AB$27,'Back-end'!$B$6:$B$125,"&gt;="&amp;$E31,'Back-end'!$J$6:$J$125,#REF!,'Back-end'!$B$6:$B$125,"&lt;="&amp;#REF!,'Back-end'!$B$6:$B$125,"&lt;="&amp;$F31,'Back-end'!$B$6:$B$125,"&gt;="&amp;#REF!),0)</f>
        <v>#N/A</v>
      </c>
      <c r="AW31" s="2" t="e">
        <f>IF(OR($A31="PTG",$A31="PTA"),SUMIFS('Back-end'!$I$6:$I$125,'Back-end'!$J$6:$J$125,AC$27,'Back-end'!$B$6:$B$125,"&gt;="&amp;$E31,'Back-end'!$J$6:$J$125,#REF!,'Back-end'!$B$6:$B$125,"&lt;="&amp;#REF!,'Back-end'!$B$6:$B$125,"&lt;="&amp;$F31,'Back-end'!$B$6:$B$125,"&gt;="&amp;#REF!),0)</f>
        <v>#N/A</v>
      </c>
      <c r="AX31" s="2" t="e">
        <f>IF(OR($A31="PTG",$A31="PTA"),SUMIFS('Back-end'!$I$6:$I$125,'Back-end'!$J$6:$J$125,AD$27,'Back-end'!$B$6:$B$125,"&gt;="&amp;$E31,'Back-end'!$J$6:$J$125,#REF!,'Back-end'!$B$6:$B$125,"&lt;="&amp;#REF!,'Back-end'!$B$6:$B$125,"&lt;="&amp;$F31,'Back-end'!$B$6:$B$125,"&gt;="&amp;#REF!),0)</f>
        <v>#N/A</v>
      </c>
      <c r="AY31" s="2" t="e">
        <f>IF(OR($A31="PTG",$A31="PTA"),SUMIFS('Back-end'!$I$6:$I$125,'Back-end'!$J$6:$J$125,AE$27,'Back-end'!$B$6:$B$125,"&gt;="&amp;$E31,'Back-end'!$J$6:$J$125,#REF!,'Back-end'!$B$6:$B$125,"&lt;="&amp;#REF!,'Back-end'!$B$6:$B$125,"&lt;="&amp;$F31,'Back-end'!$B$6:$B$125,"&gt;="&amp;#REF!),0)</f>
        <v>#N/A</v>
      </c>
      <c r="AZ31" s="2" t="e">
        <f>IF(OR($A31="PTG",$A31="PTA"),SUMIFS('Back-end'!$I$6:$I$125,'Back-end'!$J$6:$J$125,AF$27,'Back-end'!$B$6:$B$125,"&gt;="&amp;$E31,'Back-end'!$J$6:$J$125,#REF!,'Back-end'!$B$6:$B$125,"&lt;="&amp;#REF!,'Back-end'!$B$6:$B$125,"&lt;="&amp;$F31,'Back-end'!$B$6:$B$125,"&gt;="&amp;#REF!),0)</f>
        <v>#N/A</v>
      </c>
      <c r="BU31" s="268"/>
      <c r="BV31" s="268"/>
      <c r="BW31" s="267"/>
    </row>
    <row r="32" spans="1:75" outlineLevel="1" x14ac:dyDescent="0.25">
      <c r="A32" t="str">
        <f>VLOOKUP(C32,'Back-end'!$S$43:$T$55, 2, FALSE)</f>
        <v>PTG</v>
      </c>
      <c r="B32">
        <f>VLOOKUP(C32,'Back-end'!$S$43:$U$55, 3, FALSE)</f>
        <v>12</v>
      </c>
      <c r="C32" s="211" t="s">
        <v>15</v>
      </c>
      <c r="D32" s="211"/>
      <c r="E32" s="148"/>
      <c r="F32" s="4"/>
      <c r="G32" s="82"/>
      <c r="H32" s="147"/>
      <c r="I32" s="241">
        <f>(3700*2)+892</f>
        <v>8292</v>
      </c>
      <c r="J32" s="243">
        <v>12000</v>
      </c>
      <c r="K32" s="243"/>
      <c r="L32" s="242">
        <f>SUM(I32:K32)</f>
        <v>20292</v>
      </c>
      <c r="M32" s="153" t="e">
        <f>IF(N(I$17)&gt;0,IF(OR($A32="PTS",$A32="PTG",$A32="PTU"),IF(MONTH(I$17)&lt;7,($G32*$H32/$B32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32,'Back-end'!$B$6:$B$125,"&lt;="&amp;I$18,'Back-end'!$B$6:$B$125,"&lt;="&amp;$F32,'Back-end'!$B$6:$B$125,"&gt;="&amp;I$17))+
($G32*$H32/$B32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32,'Back-end'!$B$6:$B$125,"&lt;="&amp;I$18,'Back-end'!$B$6:$B$125,"&lt;="&amp;$F32,'Back-end'!$B$6:$B$125,"&gt;="&amp;I$17)),
IF(MONTH(I$18)=7,
(($G32*$H32/$B32*INDEX('Back-end'!$T$23:$X$29,MATCH("PTS",'Back-end'!$S$23:$S$29,0),MATCH(INDEX('Back-end'!$B$6:$E$125,MATCH(DATE(YEAR(I$18),MONTH(I$18),DAY(1)),'Back-end'!$B$6:$B$125,0),4),'Back-end'!$T$22:$X$22,0))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32,'Back-end'!$B$6:$B$125,"&lt;="&amp;I$18,'Back-end'!$B$6:$B$125,"&lt;="&amp;$F32,'Back-end'!$B$6:$B$125,"&gt;="&amp;I$17))+
($G32*$H32/$B32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32,'Back-end'!$B$6:$B$125,"&lt;="&amp;I$18,'Back-end'!$B$6:$B$125,"&lt;="&amp;$F32,'Back-end'!$B$6:$B$125,"&gt;="&amp;I$17))),
(($G32*$H32/$B32*INDEX('Back-end'!$T$23:$X$29,MATCH("PTS",'Back-end'!$S$23:$S$29,0),MATCH(INDEX('Back-end'!$B$6:$E$125,MATCH(DATE(YEAR(I$17),MONTH(I$17),DAY(1)),'Back-end'!$B$6:$B$125,0),4),'Back-end'!$T$22:$X$22,0))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32,'Back-end'!$B$6:$B$125,"&lt;="&amp;I$18,'Back-end'!$B$6:$B$125,"&lt;="&amp;$F32,'Back-end'!$B$6:$B$125,"&gt;="&amp;I$17))+
($G32*$H32/$B32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32,'Back-end'!$B$6:$B$125,"&lt;="&amp;I$18,'Back-end'!$B$6:$B$125,"&lt;="&amp;$F32,'Back-end'!$B$6:$B$125,"&gt;="&amp;I$17)))))),0)</f>
        <v>#N/A</v>
      </c>
      <c r="N32" s="153" t="e">
        <f>IF(N(J$17)&gt;0,IF(OR($A32="PTS",$A32="PTG",$A32="PTU"),IF(MONTH(J$17)&lt;7,($G32*$H32/$B32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32,'Back-end'!$B$6:$B$125,"&lt;="&amp;J$18,'Back-end'!$B$6:$B$125,"&lt;="&amp;$F32,'Back-end'!$B$6:$B$125,"&gt;="&amp;J$17))+
($G32*$H32/$B32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32,'Back-end'!$B$6:$B$125,"&lt;="&amp;J$18,'Back-end'!$B$6:$B$125,"&lt;="&amp;$F32,'Back-end'!$B$6:$B$125,"&gt;="&amp;J$17)),
IF(MONTH(J$18)=7,
(($G32*$H32/$B32*INDEX('Back-end'!$T$23:$X$29,MATCH("PTS",'Back-end'!$S$23:$S$29,0),MATCH(INDEX('Back-end'!$B$6:$E$125,MATCH(DATE(YEAR(J$18),MONTH(J$18),DAY(1)),'Back-end'!$B$6:$B$125,0),4),'Back-end'!$T$22:$X$22,0))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32,'Back-end'!$B$6:$B$125,"&lt;="&amp;J$18,'Back-end'!$B$6:$B$125,"&lt;="&amp;$F32,'Back-end'!$B$6:$B$125,"&gt;="&amp;J$17))+
($G32*$H32/$B32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32,'Back-end'!$B$6:$B$125,"&lt;="&amp;J$18,'Back-end'!$B$6:$B$125,"&lt;="&amp;$F32,'Back-end'!$B$6:$B$125,"&gt;="&amp;J$17))),
(($G32*$H32/$B32*INDEX('Back-end'!$T$23:$X$29,MATCH("PTS",'Back-end'!$S$23:$S$29,0),MATCH(INDEX('Back-end'!$B$6:$E$125,MATCH(DATE(YEAR(J$17),MONTH(J$17),DAY(1)),'Back-end'!$B$6:$B$125,0),4),'Back-end'!$T$22:$X$22,0))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32,'Back-end'!$B$6:$B$125,"&lt;="&amp;J$18,'Back-end'!$B$6:$B$125,"&lt;="&amp;$F32,'Back-end'!$B$6:$B$125,"&gt;="&amp;J$17))+
($G32*$H32/$B32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32,'Back-end'!$B$6:$B$125,"&lt;="&amp;J$18,'Back-end'!$B$6:$B$125,"&lt;="&amp;$F32,'Back-end'!$B$6:$B$125,"&gt;="&amp;J$17)))))),0)</f>
        <v>#N/A</v>
      </c>
      <c r="O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P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Q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R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S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T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U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V32" s="153" t="e">
        <f>IF(N(#REF!)&gt;0,IF(OR($A32="PTS",$A32="PTG",$A32="PTU"),IF(MONTH(#REF!)&lt;7,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,
IF(MONTH(#REF!)=7,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),
(($G32*$H32/$B32*INDEX('Back-end'!$T$23:$X$29,MATCH("PTS",'Back-end'!$S$23:$S$29,0),MATCH(INDEX('Back-end'!$B$6:$E$125,MATCH(DATE(YEAR(#REF!),MONTH(#REF!),DAY(1)),'Back-end'!$B$6:$B$125,0),4),'Back-end'!$T$22:$X$22,0))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32,'Back-end'!$B$6:$B$125,"&lt;="&amp;#REF!,'Back-end'!$B$6:$B$125,"&lt;="&amp;$F32,'Back-end'!$B$6:$B$125,"&gt;="&amp;#REF!))+
($G32*$H32/$B32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32,'Back-end'!$B$6:$B$125,"&lt;="&amp;#REF!,'Back-end'!$B$6:$B$125,"&lt;="&amp;$F32,'Back-end'!$B$6:$B$125,"&gt;="&amp;#REF!)))))),0)</f>
        <v>#REF!</v>
      </c>
      <c r="W32" s="2">
        <f>IF(OR($A32="PTG",$A32="PTA"),SUMIFS('Back-end'!$G$6:$G$125,'Back-end'!$J$6:$J$125,W$27,'Back-end'!$B$6:$B$125,"&gt;="&amp;$E32,'Back-end'!$J$6:$J$125,I$16,'Back-end'!$B$6:$B$125,"&lt;="&amp;I$18,'Back-end'!$B$6:$B$125,"&lt;="&amp;$F32,'Back-end'!$B$6:$B$125,"&gt;="&amp;I$17),0)</f>
        <v>0</v>
      </c>
      <c r="X32" s="2">
        <f>IF(OR($A32="PTG",$A32="PTA"),SUMIFS('Back-end'!$G$6:$G$125,'Back-end'!$J$6:$J$125,X$27,'Back-end'!$B$6:$B$125,"&gt;="&amp;$E32,'Back-end'!$J$6:$J$125,J$16,'Back-end'!$B$6:$B$125,"&lt;="&amp;J$18,'Back-end'!$B$6:$B$125,"&lt;="&amp;$F32,'Back-end'!$B$6:$B$125,"&gt;="&amp;J$17),0)</f>
        <v>0</v>
      </c>
      <c r="Y32" s="2">
        <f>IF(OR($A32="PTG",$A32="PTA"),SUMIFS('Back-end'!$G$6:$G$125,'Back-end'!$J$6:$J$125,Y$27,'Back-end'!$B$6:$B$125,"&gt;="&amp;$E32,'Back-end'!$J$6:$J$125,#REF!,'Back-end'!$B$6:$B$125,"&lt;="&amp;#REF!,'Back-end'!$B$6:$B$125,"&lt;="&amp;$F32,'Back-end'!$B$6:$B$125,"&gt;="&amp;#REF!),0)</f>
        <v>0</v>
      </c>
      <c r="Z32" s="2">
        <f>IF(OR($A32="PTG",$A32="PTA"),SUMIFS('Back-end'!$G$6:$G$125,'Back-end'!$J$6:$J$125,Z$27,'Back-end'!$B$6:$B$125,"&gt;="&amp;$E32,'Back-end'!$J$6:$J$125,#REF!,'Back-end'!$B$6:$B$125,"&lt;="&amp;#REF!,'Back-end'!$B$6:$B$125,"&lt;="&amp;$F32,'Back-end'!$B$6:$B$125,"&gt;="&amp;#REF!),0)</f>
        <v>0</v>
      </c>
      <c r="AA32" s="2">
        <f>IF(OR($A32="PTG",$A32="PTA"),SUMIFS('Back-end'!$G$6:$G$125,'Back-end'!$J$6:$J$125,AA$27,'Back-end'!$B$6:$B$125,"&gt;="&amp;$E32,'Back-end'!$J$6:$J$125,#REF!,'Back-end'!$B$6:$B$125,"&lt;="&amp;#REF!,'Back-end'!$B$6:$B$125,"&lt;="&amp;$F32,'Back-end'!$B$6:$B$125,"&gt;="&amp;#REF!),0)</f>
        <v>0</v>
      </c>
      <c r="AB32" s="2">
        <f>IF(OR($A32="PTG",$A32="PTA"),SUMIFS('Back-end'!$G$6:$G$125,'Back-end'!$J$6:$J$125,AB$27,'Back-end'!$B$6:$B$125,"&gt;="&amp;$E32,'Back-end'!$J$6:$J$125,#REF!,'Back-end'!$B$6:$B$125,"&lt;="&amp;#REF!,'Back-end'!$B$6:$B$125,"&lt;="&amp;$F32,'Back-end'!$B$6:$B$125,"&gt;="&amp;#REF!),0)</f>
        <v>0</v>
      </c>
      <c r="AC32" s="2">
        <f>IF(OR($A32="PTG",$A32="PTA"),SUMIFS('Back-end'!$G$6:$G$125,'Back-end'!$J$6:$J$125,AC$27,'Back-end'!$B$6:$B$125,"&gt;="&amp;$E32,'Back-end'!$J$6:$J$125,#REF!,'Back-end'!$B$6:$B$125,"&lt;="&amp;#REF!,'Back-end'!$B$6:$B$125,"&lt;="&amp;$F32,'Back-end'!$B$6:$B$125,"&gt;="&amp;#REF!),0)</f>
        <v>0</v>
      </c>
      <c r="AD32" s="2">
        <f>IF(OR($A32="PTG",$A32="PTA"),SUMIFS('Back-end'!$G$6:$G$125,'Back-end'!$J$6:$J$125,AD$27,'Back-end'!$B$6:$B$125,"&gt;="&amp;$E32,'Back-end'!$J$6:$J$125,#REF!,'Back-end'!$B$6:$B$125,"&lt;="&amp;#REF!,'Back-end'!$B$6:$B$125,"&lt;="&amp;$F32,'Back-end'!$B$6:$B$125,"&gt;="&amp;#REF!),0)</f>
        <v>0</v>
      </c>
      <c r="AE32" s="2">
        <f>IF(OR($A32="PTG",$A32="PTA"),SUMIFS('Back-end'!$G$6:$G$125,'Back-end'!$J$6:$J$125,AE$27,'Back-end'!$B$6:$B$125,"&gt;="&amp;$E32,'Back-end'!$J$6:$J$125,#REF!,'Back-end'!$B$6:$B$125,"&lt;="&amp;#REF!,'Back-end'!$B$6:$B$125,"&lt;="&amp;$F32,'Back-end'!$B$6:$B$125,"&gt;="&amp;#REF!),0)</f>
        <v>0</v>
      </c>
      <c r="AF32" s="2">
        <f>IF(OR($A32="PTG",$A32="PTA"),SUMIFS('Back-end'!$G$6:$G$125,'Back-end'!$J$6:$J$125,AF$27,'Back-end'!$B$6:$B$125,"&gt;="&amp;$E32,'Back-end'!$J$6:$J$125,#REF!,'Back-end'!$B$6:$B$125,"&lt;="&amp;#REF!,'Back-end'!$B$6:$B$125,"&lt;="&amp;$F32,'Back-end'!$B$6:$B$125,"&gt;="&amp;#REF!),0)</f>
        <v>0</v>
      </c>
      <c r="AG32" s="153">
        <f>IF(OR($A32="PTG",$A32="PTA"),SUMIFS('Back-end'!$H$6:$H$125,'Back-end'!$J$6:$J$125,AG$27,'Back-end'!$B$6:$B$125,"&gt;="&amp;$E32,'Back-end'!$J$6:$J$125,I$16,'Back-end'!$B$6:$B$125,"&lt;="&amp;I$18,'Back-end'!$B$6:$B$125,"&lt;="&amp;$F32,'Back-end'!$B$6:$B$125,"&gt;="&amp;I$17),IF($A32="PTS",SUMIFS('Back-end'!$H$6:$H$125,'Back-end'!$J$6:$J$125,AG$27,'Back-end'!$B$6:$B$125,"&gt;="&amp;$E32,'Back-end'!$J$6:$J$125,I$16,'Back-end'!$B$6:$B$125,"&lt;="&amp;I$18,'Back-end'!$B$6:$B$125,"&lt;="&amp;$F32,'Back-end'!$B$6:$B$125,"&gt;="&amp;I$17,'Back-end'!$C$6:$C$125,"Summer"),0))</f>
        <v>0</v>
      </c>
      <c r="AH32" s="153">
        <f>IF(OR($A32="PTG",$A32="PTA"),SUMIFS('Back-end'!$H$6:$H$125,'Back-end'!$J$6:$J$125,AH$27,'Back-end'!$B$6:$B$125,"&gt;="&amp;$E32,'Back-end'!$J$6:$J$125,J$16,'Back-end'!$B$6:$B$125,"&lt;="&amp;J$18,'Back-end'!$B$6:$B$125,"&lt;="&amp;$F32,'Back-end'!$B$6:$B$125,"&gt;="&amp;J$17),IF($A32="PTS",SUMIFS('Back-end'!$H$6:$H$125,'Back-end'!$J$6:$J$125,AH$27,'Back-end'!$B$6:$B$125,"&gt;="&amp;$E32,'Back-end'!$J$6:$J$125,J$16,'Back-end'!$B$6:$B$125,"&lt;="&amp;J$18,'Back-end'!$B$6:$B$125,"&lt;="&amp;$F32,'Back-end'!$B$6:$B$125,"&gt;="&amp;J$17,'Back-end'!$C$6:$C$125,"Summer"),0))</f>
        <v>0</v>
      </c>
      <c r="AI32" s="153">
        <f>IF(OR($A32="PTG",$A32="PTA"),SUMIFS('Back-end'!$H$6:$H$125,'Back-end'!$J$6:$J$125,AI$27,'Back-end'!$B$6:$B$125,"&gt;="&amp;$E32,'Back-end'!$J$6:$J$125,#REF!,'Back-end'!$B$6:$B$125,"&lt;="&amp;#REF!,'Back-end'!$B$6:$B$125,"&lt;="&amp;$F32,'Back-end'!$B$6:$B$125,"&gt;="&amp;#REF!),IF($A32="PTS",SUMIFS('Back-end'!$H$6:$H$125,'Back-end'!$J$6:$J$125,AI$27,'Back-end'!$B$6:$B$125,"&gt;="&amp;$E32,'Back-end'!$J$6:$J$125,#REF!,'Back-end'!$B$6:$B$125,"&lt;="&amp;#REF!,'Back-end'!$B$6:$B$125,"&lt;="&amp;$F32,'Back-end'!$B$6:$B$125,"&gt;="&amp;#REF!,'Back-end'!$C$6:$C$125,"Summer"),0))</f>
        <v>0</v>
      </c>
      <c r="AJ32" s="153">
        <f>IF(OR($A32="PTG",$A32="PTA"),SUMIFS('Back-end'!$H$6:$H$125,'Back-end'!$J$6:$J$125,AJ$27,'Back-end'!$B$6:$B$125,"&gt;="&amp;$E32,'Back-end'!$J$6:$J$125,#REF!,'Back-end'!$B$6:$B$125,"&lt;="&amp;#REF!,'Back-end'!$B$6:$B$125,"&lt;="&amp;$F32,'Back-end'!$B$6:$B$125,"&gt;="&amp;#REF!),IF($A32="PTS",SUMIFS('Back-end'!$H$6:$H$125,'Back-end'!$J$6:$J$125,AJ$27,'Back-end'!$B$6:$B$125,"&gt;="&amp;$E32,'Back-end'!$J$6:$J$125,#REF!,'Back-end'!$B$6:$B$125,"&lt;="&amp;#REF!,'Back-end'!$B$6:$B$125,"&lt;="&amp;$F32,'Back-end'!$B$6:$B$125,"&gt;="&amp;#REF!,'Back-end'!$C$6:$C$125,"Summer"),0))</f>
        <v>0</v>
      </c>
      <c r="AK32" s="153">
        <f>IF(OR($A32="PTG",$A32="PTA"),SUMIFS('Back-end'!$H$6:$H$125,'Back-end'!$J$6:$J$125,AK$27,'Back-end'!$B$6:$B$125,"&gt;="&amp;$E32,'Back-end'!$J$6:$J$125,#REF!,'Back-end'!$B$6:$B$125,"&lt;="&amp;#REF!,'Back-end'!$B$6:$B$125,"&lt;="&amp;$F32,'Back-end'!$B$6:$B$125,"&gt;="&amp;#REF!),IF($A32="PTS",SUMIFS('Back-end'!$H$6:$H$125,'Back-end'!$J$6:$J$125,AK$27,'Back-end'!$B$6:$B$125,"&gt;="&amp;$E32,'Back-end'!$J$6:$J$125,#REF!,'Back-end'!$B$6:$B$125,"&lt;="&amp;#REF!,'Back-end'!$B$6:$B$125,"&lt;="&amp;$F32,'Back-end'!$B$6:$B$125,"&gt;="&amp;#REF!,'Back-end'!$C$6:$C$125,"Summer"),0))</f>
        <v>0</v>
      </c>
      <c r="AL32" s="153">
        <f>IF(OR($A32="PTG",$A32="PTA"),SUMIFS('Back-end'!$H$6:$H$125,'Back-end'!$J$6:$J$125,AL$27,'Back-end'!$B$6:$B$125,"&gt;="&amp;$E32,'Back-end'!$J$6:$J$125,#REF!,'Back-end'!$B$6:$B$125,"&lt;="&amp;#REF!,'Back-end'!$B$6:$B$125,"&lt;="&amp;$F32,'Back-end'!$B$6:$B$125,"&gt;="&amp;#REF!),IF($A32="PTS",SUMIFS('Back-end'!$H$6:$H$125,'Back-end'!$J$6:$J$125,AL$27,'Back-end'!$B$6:$B$125,"&gt;="&amp;$E32,'Back-end'!$J$6:$J$125,#REF!,'Back-end'!$B$6:$B$125,"&lt;="&amp;#REF!,'Back-end'!$B$6:$B$125,"&lt;="&amp;$F32,'Back-end'!$B$6:$B$125,"&gt;="&amp;#REF!,'Back-end'!$C$6:$C$125,"Summer"),0))</f>
        <v>0</v>
      </c>
      <c r="AM32" s="153">
        <f>IF(OR($A32="PTG",$A32="PTA"),SUMIFS('Back-end'!$H$6:$H$125,'Back-end'!$J$6:$J$125,AM$27,'Back-end'!$B$6:$B$125,"&gt;="&amp;$E32,'Back-end'!$J$6:$J$125,#REF!,'Back-end'!$B$6:$B$125,"&lt;="&amp;#REF!,'Back-end'!$B$6:$B$125,"&lt;="&amp;$F32,'Back-end'!$B$6:$B$125,"&gt;="&amp;#REF!),IF($A32="PTS",SUMIFS('Back-end'!$H$6:$H$125,'Back-end'!$J$6:$J$125,AM$27,'Back-end'!$B$6:$B$125,"&gt;="&amp;$E32,'Back-end'!$J$6:$J$125,#REF!,'Back-end'!$B$6:$B$125,"&lt;="&amp;#REF!,'Back-end'!$B$6:$B$125,"&lt;="&amp;$F32,'Back-end'!$B$6:$B$125,"&gt;="&amp;#REF!,'Back-end'!$C$6:$C$125,"Summer"),0))</f>
        <v>0</v>
      </c>
      <c r="AN32" s="153">
        <f>IF(OR($A32="PTG",$A32="PTA"),SUMIFS('Back-end'!$H$6:$H$125,'Back-end'!$J$6:$J$125,AN$27,'Back-end'!$B$6:$B$125,"&gt;="&amp;$E32,'Back-end'!$J$6:$J$125,#REF!,'Back-end'!$B$6:$B$125,"&lt;="&amp;#REF!,'Back-end'!$B$6:$B$125,"&lt;="&amp;$F32,'Back-end'!$B$6:$B$125,"&gt;="&amp;#REF!),IF($A32="PTS",SUMIFS('Back-end'!$H$6:$H$125,'Back-end'!$J$6:$J$125,AN$27,'Back-end'!$B$6:$B$125,"&gt;="&amp;$E32,'Back-end'!$J$6:$J$125,#REF!,'Back-end'!$B$6:$B$125,"&lt;="&amp;#REF!,'Back-end'!$B$6:$B$125,"&lt;="&amp;$F32,'Back-end'!$B$6:$B$125,"&gt;="&amp;#REF!,'Back-end'!$C$6:$C$125,"Summer"),0))</f>
        <v>0</v>
      </c>
      <c r="AO32" s="153">
        <f>IF(OR($A32="PTG",$A32="PTA"),SUMIFS('Back-end'!$H$6:$H$125,'Back-end'!$J$6:$J$125,AO$27,'Back-end'!$B$6:$B$125,"&gt;="&amp;$E32,'Back-end'!$J$6:$J$125,#REF!,'Back-end'!$B$6:$B$125,"&lt;="&amp;#REF!,'Back-end'!$B$6:$B$125,"&lt;="&amp;$F32,'Back-end'!$B$6:$B$125,"&gt;="&amp;#REF!),IF($A32="PTS",SUMIFS('Back-end'!$H$6:$H$125,'Back-end'!$J$6:$J$125,AO$27,'Back-end'!$B$6:$B$125,"&gt;="&amp;$E32,'Back-end'!$J$6:$J$125,#REF!,'Back-end'!$B$6:$B$125,"&lt;="&amp;#REF!,'Back-end'!$B$6:$B$125,"&lt;="&amp;$F32,'Back-end'!$B$6:$B$125,"&gt;="&amp;#REF!,'Back-end'!$C$6:$C$125,"Summer"),0))</f>
        <v>0</v>
      </c>
      <c r="AP32" s="153">
        <f>IF(OR($A32="PTG",$A32="PTA"),SUMIFS('Back-end'!$H$6:$H$125,'Back-end'!$J$6:$J$125,AP$27,'Back-end'!$B$6:$B$125,"&gt;="&amp;$E32,'Back-end'!$J$6:$J$125,#REF!,'Back-end'!$B$6:$B$125,"&lt;="&amp;#REF!,'Back-end'!$B$6:$B$125,"&lt;="&amp;$F32,'Back-end'!$B$6:$B$125,"&gt;="&amp;#REF!),IF($A32="PTS",SUMIFS('Back-end'!$H$6:$H$125,'Back-end'!$J$6:$J$125,AP$27,'Back-end'!$B$6:$B$125,"&gt;="&amp;$E32,'Back-end'!$J$6:$J$125,#REF!,'Back-end'!$B$6:$B$125,"&lt;="&amp;#REF!,'Back-end'!$B$6:$B$125,"&lt;="&amp;$F32,'Back-end'!$B$6:$B$125,"&gt;="&amp;#REF!,'Back-end'!$C$6:$C$125,"Summer"),0))</f>
        <v>0</v>
      </c>
      <c r="AQ32" s="2">
        <f>IF(OR($A32="PTG",$A32="PTA"),SUMIFS('Back-end'!$I$6:$I$125,'Back-end'!$J$6:$J$125,W$27,'Back-end'!$B$6:$B$125,"&gt;="&amp;$E32,'Back-end'!$J$6:$J$125,I$16,'Back-end'!$B$6:$B$125,"&lt;="&amp;I$18,'Back-end'!$B$6:$B$125,"&lt;="&amp;$F32,'Back-end'!$B$6:$B$125,"&gt;="&amp;I$17),0)</f>
        <v>0</v>
      </c>
      <c r="AR32" s="2">
        <f>IF(OR($A32="PTG",$A32="PTA"),SUMIFS('Back-end'!$I$6:$I$125,'Back-end'!$J$6:$J$125,X$27,'Back-end'!$B$6:$B$125,"&gt;="&amp;$E32,'Back-end'!$J$6:$J$125,J$16,'Back-end'!$B$6:$B$125,"&lt;="&amp;J$18,'Back-end'!$B$6:$B$125,"&lt;="&amp;$F32,'Back-end'!$B$6:$B$125,"&gt;="&amp;J$17),0)</f>
        <v>0</v>
      </c>
      <c r="AS32" s="2">
        <f>IF(OR($A32="PTG",$A32="PTA"),SUMIFS('Back-end'!$I$6:$I$125,'Back-end'!$J$6:$J$125,Y$27,'Back-end'!$B$6:$B$125,"&gt;="&amp;$E32,'Back-end'!$J$6:$J$125,#REF!,'Back-end'!$B$6:$B$125,"&lt;="&amp;#REF!,'Back-end'!$B$6:$B$125,"&lt;="&amp;$F32,'Back-end'!$B$6:$B$125,"&gt;="&amp;#REF!),0)</f>
        <v>0</v>
      </c>
      <c r="AT32" s="2">
        <f>IF(OR($A32="PTG",$A32="PTA"),SUMIFS('Back-end'!$I$6:$I$125,'Back-end'!$J$6:$J$125,Z$27,'Back-end'!$B$6:$B$125,"&gt;="&amp;$E32,'Back-end'!$J$6:$J$125,#REF!,'Back-end'!$B$6:$B$125,"&lt;="&amp;#REF!,'Back-end'!$B$6:$B$125,"&lt;="&amp;$F32,'Back-end'!$B$6:$B$125,"&gt;="&amp;#REF!),0)</f>
        <v>0</v>
      </c>
      <c r="AU32" s="2">
        <f>IF(OR($A32="PTG",$A32="PTA"),SUMIFS('Back-end'!$I$6:$I$125,'Back-end'!$J$6:$J$125,AA$27,'Back-end'!$B$6:$B$125,"&gt;="&amp;$E32,'Back-end'!$J$6:$J$125,#REF!,'Back-end'!$B$6:$B$125,"&lt;="&amp;#REF!,'Back-end'!$B$6:$B$125,"&lt;="&amp;$F32,'Back-end'!$B$6:$B$125,"&gt;="&amp;#REF!),0)</f>
        <v>0</v>
      </c>
      <c r="AV32" s="2">
        <f>IF(OR($A32="PTG",$A32="PTA"),SUMIFS('Back-end'!$I$6:$I$125,'Back-end'!$J$6:$J$125,AB$27,'Back-end'!$B$6:$B$125,"&gt;="&amp;$E32,'Back-end'!$J$6:$J$125,#REF!,'Back-end'!$B$6:$B$125,"&lt;="&amp;#REF!,'Back-end'!$B$6:$B$125,"&lt;="&amp;$F32,'Back-end'!$B$6:$B$125,"&gt;="&amp;#REF!),0)</f>
        <v>0</v>
      </c>
      <c r="AW32" s="2">
        <f>IF(OR($A32="PTG",$A32="PTA"),SUMIFS('Back-end'!$I$6:$I$125,'Back-end'!$J$6:$J$125,AC$27,'Back-end'!$B$6:$B$125,"&gt;="&amp;$E32,'Back-end'!$J$6:$J$125,#REF!,'Back-end'!$B$6:$B$125,"&lt;="&amp;#REF!,'Back-end'!$B$6:$B$125,"&lt;="&amp;$F32,'Back-end'!$B$6:$B$125,"&gt;="&amp;#REF!),0)</f>
        <v>0</v>
      </c>
      <c r="AX32" s="2">
        <f>IF(OR($A32="PTG",$A32="PTA"),SUMIFS('Back-end'!$I$6:$I$125,'Back-end'!$J$6:$J$125,AD$27,'Back-end'!$B$6:$B$125,"&gt;="&amp;$E32,'Back-end'!$J$6:$J$125,#REF!,'Back-end'!$B$6:$B$125,"&lt;="&amp;#REF!,'Back-end'!$B$6:$B$125,"&lt;="&amp;$F32,'Back-end'!$B$6:$B$125,"&gt;="&amp;#REF!),0)</f>
        <v>0</v>
      </c>
      <c r="AY32" s="2">
        <f>IF(OR($A32="PTG",$A32="PTA"),SUMIFS('Back-end'!$I$6:$I$125,'Back-end'!$J$6:$J$125,AE$27,'Back-end'!$B$6:$B$125,"&gt;="&amp;$E32,'Back-end'!$J$6:$J$125,#REF!,'Back-end'!$B$6:$B$125,"&lt;="&amp;#REF!,'Back-end'!$B$6:$B$125,"&lt;="&amp;$F32,'Back-end'!$B$6:$B$125,"&gt;="&amp;#REF!),0)</f>
        <v>0</v>
      </c>
      <c r="AZ32" s="2">
        <f>IF(OR($A32="PTG",$A32="PTA"),SUMIFS('Back-end'!$I$6:$I$125,'Back-end'!$J$6:$J$125,AF$27,'Back-end'!$B$6:$B$125,"&gt;="&amp;$E32,'Back-end'!$J$6:$J$125,#REF!,'Back-end'!$B$6:$B$125,"&lt;="&amp;#REF!,'Back-end'!$B$6:$B$125,"&lt;="&amp;$F32,'Back-end'!$B$6:$B$125,"&gt;="&amp;#REF!),0)</f>
        <v>0</v>
      </c>
      <c r="BU32" s="268">
        <v>4000</v>
      </c>
      <c r="BV32" s="268">
        <f>L32-BU32</f>
        <v>16292</v>
      </c>
      <c r="BW32" s="267"/>
    </row>
    <row r="33" spans="1:75" hidden="1" outlineLevel="1" x14ac:dyDescent="0.25">
      <c r="A33" t="str">
        <f>VLOOKUP(C33,'Back-end'!$S$43:$T$55, 2, FALSE)</f>
        <v>PTG</v>
      </c>
      <c r="B33">
        <f>VLOOKUP(C33,'Back-end'!$S$43:$U$55, 3, FALSE)</f>
        <v>12</v>
      </c>
      <c r="C33" s="211" t="s">
        <v>15</v>
      </c>
      <c r="D33" s="211"/>
      <c r="E33" s="148"/>
      <c r="F33" s="4"/>
      <c r="G33" s="82"/>
      <c r="H33" s="147"/>
      <c r="I33" s="241"/>
      <c r="J33" s="243"/>
      <c r="K33" s="243"/>
      <c r="L33" s="242">
        <f>SUM(I33:K33)</f>
        <v>0</v>
      </c>
      <c r="M33" s="153" t="e">
        <f>IF(N(I$17)&gt;0,IF(OR($A33="PTS",$A33="PTG",$A33="PTU"),IF(MONTH(I$17)&lt;7,($G33*$H33/$B33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33,'Back-end'!$B$6:$B$125,"&lt;="&amp;I$18,'Back-end'!$B$6:$B$125,"&lt;="&amp;$F33,'Back-end'!$B$6:$B$125,"&gt;="&amp;I$17))+
($G33*$H33/$B33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33,'Back-end'!$B$6:$B$125,"&lt;="&amp;I$18,'Back-end'!$B$6:$B$125,"&lt;="&amp;$F33,'Back-end'!$B$6:$B$125,"&gt;="&amp;I$17)),
IF(MONTH(I$18)=7,
(($G33*$H33/$B33*INDEX('Back-end'!$T$23:$X$29,MATCH("PTS",'Back-end'!$S$23:$S$29,0),MATCH(INDEX('Back-end'!$B$6:$E$125,MATCH(DATE(YEAR(I$18),MONTH(I$18),DAY(1)),'Back-end'!$B$6:$B$125,0),4),'Back-end'!$T$22:$X$22,0))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33,'Back-end'!$B$6:$B$125,"&lt;="&amp;I$18,'Back-end'!$B$6:$B$125,"&lt;="&amp;$F33,'Back-end'!$B$6:$B$125,"&gt;="&amp;I$17))+
($G33*$H33/$B33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33,'Back-end'!$B$6:$B$125,"&lt;="&amp;I$18,'Back-end'!$B$6:$B$125,"&lt;="&amp;$F33,'Back-end'!$B$6:$B$125,"&gt;="&amp;I$17))),
(($G33*$H33/$B33*INDEX('Back-end'!$T$23:$X$29,MATCH("PTS",'Back-end'!$S$23:$S$29,0),MATCH(INDEX('Back-end'!$B$6:$E$125,MATCH(DATE(YEAR(I$17),MONTH(I$17),DAY(1)),'Back-end'!$B$6:$B$125,0),4),'Back-end'!$T$22:$X$22,0))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33,'Back-end'!$B$6:$B$125,"&lt;="&amp;I$18,'Back-end'!$B$6:$B$125,"&lt;="&amp;$F33,'Back-end'!$B$6:$B$125,"&gt;="&amp;I$17))+
($G33*$H33/$B33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33,'Back-end'!$B$6:$B$125,"&lt;="&amp;I$18,'Back-end'!$B$6:$B$125,"&lt;="&amp;$F33,'Back-end'!$B$6:$B$125,"&gt;="&amp;I$17)))))),0)</f>
        <v>#N/A</v>
      </c>
      <c r="N33" s="153" t="e">
        <f>IF(N(J$17)&gt;0,IF(OR($A33="PTS",$A33="PTG",$A33="PTU"),IF(MONTH(J$17)&lt;7,($G33*$H33/$B33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33,'Back-end'!$B$6:$B$125,"&lt;="&amp;J$18,'Back-end'!$B$6:$B$125,"&lt;="&amp;$F33,'Back-end'!$B$6:$B$125,"&gt;="&amp;J$17))+
($G33*$H33/$B33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33,'Back-end'!$B$6:$B$125,"&lt;="&amp;J$18,'Back-end'!$B$6:$B$125,"&lt;="&amp;$F33,'Back-end'!$B$6:$B$125,"&gt;="&amp;J$17)),
IF(MONTH(J$18)=7,
(($G33*$H33/$B33*INDEX('Back-end'!$T$23:$X$29,MATCH("PTS",'Back-end'!$S$23:$S$29,0),MATCH(INDEX('Back-end'!$B$6:$E$125,MATCH(DATE(YEAR(J$18),MONTH(J$18),DAY(1)),'Back-end'!$B$6:$B$125,0),4),'Back-end'!$T$22:$X$22,0))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33,'Back-end'!$B$6:$B$125,"&lt;="&amp;J$18,'Back-end'!$B$6:$B$125,"&lt;="&amp;$F33,'Back-end'!$B$6:$B$125,"&gt;="&amp;J$17))+
($G33*$H33/$B33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33,'Back-end'!$B$6:$B$125,"&lt;="&amp;J$18,'Back-end'!$B$6:$B$125,"&lt;="&amp;$F33,'Back-end'!$B$6:$B$125,"&gt;="&amp;J$17))),
(($G33*$H33/$B33*INDEX('Back-end'!$T$23:$X$29,MATCH("PTS",'Back-end'!$S$23:$S$29,0),MATCH(INDEX('Back-end'!$B$6:$E$125,MATCH(DATE(YEAR(J$17),MONTH(J$17),DAY(1)),'Back-end'!$B$6:$B$125,0),4),'Back-end'!$T$22:$X$22,0))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33,'Back-end'!$B$6:$B$125,"&lt;="&amp;J$18,'Back-end'!$B$6:$B$125,"&lt;="&amp;$F33,'Back-end'!$B$6:$B$125,"&gt;="&amp;J$17))+
($G33*$H33/$B33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33,'Back-end'!$B$6:$B$125,"&lt;="&amp;J$18,'Back-end'!$B$6:$B$125,"&lt;="&amp;$F33,'Back-end'!$B$6:$B$125,"&gt;="&amp;J$17)))))),0)</f>
        <v>#N/A</v>
      </c>
      <c r="O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P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Q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R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S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T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U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V33" s="153" t="e">
        <f>IF(N(#REF!)&gt;0,IF(OR($A33="PTS",$A33="PTG",$A33="PTU"),IF(MONTH(#REF!)&lt;7,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,
IF(MONTH(#REF!)=7,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),
(($G33*$H33/$B33*INDEX('Back-end'!$T$23:$X$29,MATCH("PTS",'Back-end'!$S$23:$S$29,0),MATCH(INDEX('Back-end'!$B$6:$E$125,MATCH(DATE(YEAR(#REF!),MONTH(#REF!),DAY(1)),'Back-end'!$B$6:$B$125,0),4),'Back-end'!$T$22:$X$22,0))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33,'Back-end'!$B$6:$B$125,"&lt;="&amp;#REF!,'Back-end'!$B$6:$B$125,"&lt;="&amp;$F33,'Back-end'!$B$6:$B$125,"&gt;="&amp;#REF!))+
($G33*$H33/$B33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33,'Back-end'!$B$6:$B$125,"&lt;="&amp;#REF!,'Back-end'!$B$6:$B$125,"&lt;="&amp;$F33,'Back-end'!$B$6:$B$125,"&gt;="&amp;#REF!)))))),0)</f>
        <v>#REF!</v>
      </c>
      <c r="W33" s="2">
        <f>IF(OR($A33="PTG",$A33="PTA"),SUMIFS('Back-end'!$G$6:$G$125,'Back-end'!$J$6:$J$125,W$27,'Back-end'!$B$6:$B$125,"&gt;="&amp;$E33,'Back-end'!$J$6:$J$125,I$16,'Back-end'!$B$6:$B$125,"&lt;="&amp;I$18,'Back-end'!$B$6:$B$125,"&lt;="&amp;$F33,'Back-end'!$B$6:$B$125,"&gt;="&amp;I$17),0)</f>
        <v>0</v>
      </c>
      <c r="X33" s="2">
        <f>IF(OR($A33="PTG",$A33="PTA"),SUMIFS('Back-end'!$G$6:$G$125,'Back-end'!$J$6:$J$125,X$27,'Back-end'!$B$6:$B$125,"&gt;="&amp;$E33,'Back-end'!$J$6:$J$125,J$16,'Back-end'!$B$6:$B$125,"&lt;="&amp;J$18,'Back-end'!$B$6:$B$125,"&lt;="&amp;$F33,'Back-end'!$B$6:$B$125,"&gt;="&amp;J$17),0)</f>
        <v>0</v>
      </c>
      <c r="Y33" s="2">
        <f>IF(OR($A33="PTG",$A33="PTA"),SUMIFS('Back-end'!$G$6:$G$125,'Back-end'!$J$6:$J$125,Y$27,'Back-end'!$B$6:$B$125,"&gt;="&amp;$E33,'Back-end'!$J$6:$J$125,#REF!,'Back-end'!$B$6:$B$125,"&lt;="&amp;#REF!,'Back-end'!$B$6:$B$125,"&lt;="&amp;$F33,'Back-end'!$B$6:$B$125,"&gt;="&amp;#REF!),0)</f>
        <v>0</v>
      </c>
      <c r="Z33" s="2">
        <f>IF(OR($A33="PTG",$A33="PTA"),SUMIFS('Back-end'!$G$6:$G$125,'Back-end'!$J$6:$J$125,Z$27,'Back-end'!$B$6:$B$125,"&gt;="&amp;$E33,'Back-end'!$J$6:$J$125,#REF!,'Back-end'!$B$6:$B$125,"&lt;="&amp;#REF!,'Back-end'!$B$6:$B$125,"&lt;="&amp;$F33,'Back-end'!$B$6:$B$125,"&gt;="&amp;#REF!),0)</f>
        <v>0</v>
      </c>
      <c r="AA33" s="2">
        <f>IF(OR($A33="PTG",$A33="PTA"),SUMIFS('Back-end'!$G$6:$G$125,'Back-end'!$J$6:$J$125,AA$27,'Back-end'!$B$6:$B$125,"&gt;="&amp;$E33,'Back-end'!$J$6:$J$125,#REF!,'Back-end'!$B$6:$B$125,"&lt;="&amp;#REF!,'Back-end'!$B$6:$B$125,"&lt;="&amp;$F33,'Back-end'!$B$6:$B$125,"&gt;="&amp;#REF!),0)</f>
        <v>0</v>
      </c>
      <c r="AB33" s="2">
        <f>IF(OR($A33="PTG",$A33="PTA"),SUMIFS('Back-end'!$G$6:$G$125,'Back-end'!$J$6:$J$125,AB$27,'Back-end'!$B$6:$B$125,"&gt;="&amp;$E33,'Back-end'!$J$6:$J$125,#REF!,'Back-end'!$B$6:$B$125,"&lt;="&amp;#REF!,'Back-end'!$B$6:$B$125,"&lt;="&amp;$F33,'Back-end'!$B$6:$B$125,"&gt;="&amp;#REF!),0)</f>
        <v>0</v>
      </c>
      <c r="AC33" s="2">
        <f>IF(OR($A33="PTG",$A33="PTA"),SUMIFS('Back-end'!$G$6:$G$125,'Back-end'!$J$6:$J$125,AC$27,'Back-end'!$B$6:$B$125,"&gt;="&amp;$E33,'Back-end'!$J$6:$J$125,#REF!,'Back-end'!$B$6:$B$125,"&lt;="&amp;#REF!,'Back-end'!$B$6:$B$125,"&lt;="&amp;$F33,'Back-end'!$B$6:$B$125,"&gt;="&amp;#REF!),0)</f>
        <v>0</v>
      </c>
      <c r="AD33" s="2">
        <f>IF(OR($A33="PTG",$A33="PTA"),SUMIFS('Back-end'!$G$6:$G$125,'Back-end'!$J$6:$J$125,AD$27,'Back-end'!$B$6:$B$125,"&gt;="&amp;$E33,'Back-end'!$J$6:$J$125,#REF!,'Back-end'!$B$6:$B$125,"&lt;="&amp;#REF!,'Back-end'!$B$6:$B$125,"&lt;="&amp;$F33,'Back-end'!$B$6:$B$125,"&gt;="&amp;#REF!),0)</f>
        <v>0</v>
      </c>
      <c r="AE33" s="2">
        <f>IF(OR($A33="PTG",$A33="PTA"),SUMIFS('Back-end'!$G$6:$G$125,'Back-end'!$J$6:$J$125,AE$27,'Back-end'!$B$6:$B$125,"&gt;="&amp;$E33,'Back-end'!$J$6:$J$125,#REF!,'Back-end'!$B$6:$B$125,"&lt;="&amp;#REF!,'Back-end'!$B$6:$B$125,"&lt;="&amp;$F33,'Back-end'!$B$6:$B$125,"&gt;="&amp;#REF!),0)</f>
        <v>0</v>
      </c>
      <c r="AF33" s="2">
        <f>IF(OR($A33="PTG",$A33="PTA"),SUMIFS('Back-end'!$G$6:$G$125,'Back-end'!$J$6:$J$125,AF$27,'Back-end'!$B$6:$B$125,"&gt;="&amp;$E33,'Back-end'!$J$6:$J$125,#REF!,'Back-end'!$B$6:$B$125,"&lt;="&amp;#REF!,'Back-end'!$B$6:$B$125,"&lt;="&amp;$F33,'Back-end'!$B$6:$B$125,"&gt;="&amp;#REF!),0)</f>
        <v>0</v>
      </c>
      <c r="AG33" s="153">
        <f>IF(OR($A33="PTG",$A33="PTA"),SUMIFS('Back-end'!$H$6:$H$125,'Back-end'!$J$6:$J$125,AG$27,'Back-end'!$B$6:$B$125,"&gt;="&amp;$E33,'Back-end'!$J$6:$J$125,I$16,'Back-end'!$B$6:$B$125,"&lt;="&amp;I$18,'Back-end'!$B$6:$B$125,"&lt;="&amp;$F33,'Back-end'!$B$6:$B$125,"&gt;="&amp;I$17),IF($A33="PTS",SUMIFS('Back-end'!$H$6:$H$125,'Back-end'!$J$6:$J$125,AG$27,'Back-end'!$B$6:$B$125,"&gt;="&amp;$E33,'Back-end'!$J$6:$J$125,I$16,'Back-end'!$B$6:$B$125,"&lt;="&amp;I$18,'Back-end'!$B$6:$B$125,"&lt;="&amp;$F33,'Back-end'!$B$6:$B$125,"&gt;="&amp;I$17,'Back-end'!$C$6:$C$125,"Summer"),0))</f>
        <v>0</v>
      </c>
      <c r="AH33" s="153">
        <f>IF(OR($A33="PTG",$A33="PTA"),SUMIFS('Back-end'!$H$6:$H$125,'Back-end'!$J$6:$J$125,AH$27,'Back-end'!$B$6:$B$125,"&gt;="&amp;$E33,'Back-end'!$J$6:$J$125,J$16,'Back-end'!$B$6:$B$125,"&lt;="&amp;J$18,'Back-end'!$B$6:$B$125,"&lt;="&amp;$F33,'Back-end'!$B$6:$B$125,"&gt;="&amp;J$17),IF($A33="PTS",SUMIFS('Back-end'!$H$6:$H$125,'Back-end'!$J$6:$J$125,AH$27,'Back-end'!$B$6:$B$125,"&gt;="&amp;$E33,'Back-end'!$J$6:$J$125,J$16,'Back-end'!$B$6:$B$125,"&lt;="&amp;J$18,'Back-end'!$B$6:$B$125,"&lt;="&amp;$F33,'Back-end'!$B$6:$B$125,"&gt;="&amp;J$17,'Back-end'!$C$6:$C$125,"Summer"),0))</f>
        <v>0</v>
      </c>
      <c r="AI33" s="153">
        <f>IF(OR($A33="PTG",$A33="PTA"),SUMIFS('Back-end'!$H$6:$H$125,'Back-end'!$J$6:$J$125,AI$27,'Back-end'!$B$6:$B$125,"&gt;="&amp;$E33,'Back-end'!$J$6:$J$125,#REF!,'Back-end'!$B$6:$B$125,"&lt;="&amp;#REF!,'Back-end'!$B$6:$B$125,"&lt;="&amp;$F33,'Back-end'!$B$6:$B$125,"&gt;="&amp;#REF!),IF($A33="PTS",SUMIFS('Back-end'!$H$6:$H$125,'Back-end'!$J$6:$J$125,AI$27,'Back-end'!$B$6:$B$125,"&gt;="&amp;$E33,'Back-end'!$J$6:$J$125,#REF!,'Back-end'!$B$6:$B$125,"&lt;="&amp;#REF!,'Back-end'!$B$6:$B$125,"&lt;="&amp;$F33,'Back-end'!$B$6:$B$125,"&gt;="&amp;#REF!,'Back-end'!$C$6:$C$125,"Summer"),0))</f>
        <v>0</v>
      </c>
      <c r="AJ33" s="153">
        <f>IF(OR($A33="PTG",$A33="PTA"),SUMIFS('Back-end'!$H$6:$H$125,'Back-end'!$J$6:$J$125,AJ$27,'Back-end'!$B$6:$B$125,"&gt;="&amp;$E33,'Back-end'!$J$6:$J$125,#REF!,'Back-end'!$B$6:$B$125,"&lt;="&amp;#REF!,'Back-end'!$B$6:$B$125,"&lt;="&amp;$F33,'Back-end'!$B$6:$B$125,"&gt;="&amp;#REF!),IF($A33="PTS",SUMIFS('Back-end'!$H$6:$H$125,'Back-end'!$J$6:$J$125,AJ$27,'Back-end'!$B$6:$B$125,"&gt;="&amp;$E33,'Back-end'!$J$6:$J$125,#REF!,'Back-end'!$B$6:$B$125,"&lt;="&amp;#REF!,'Back-end'!$B$6:$B$125,"&lt;="&amp;$F33,'Back-end'!$B$6:$B$125,"&gt;="&amp;#REF!,'Back-end'!$C$6:$C$125,"Summer"),0))</f>
        <v>0</v>
      </c>
      <c r="AK33" s="153">
        <f>IF(OR($A33="PTG",$A33="PTA"),SUMIFS('Back-end'!$H$6:$H$125,'Back-end'!$J$6:$J$125,AK$27,'Back-end'!$B$6:$B$125,"&gt;="&amp;$E33,'Back-end'!$J$6:$J$125,#REF!,'Back-end'!$B$6:$B$125,"&lt;="&amp;#REF!,'Back-end'!$B$6:$B$125,"&lt;="&amp;$F33,'Back-end'!$B$6:$B$125,"&gt;="&amp;#REF!),IF($A33="PTS",SUMIFS('Back-end'!$H$6:$H$125,'Back-end'!$J$6:$J$125,AK$27,'Back-end'!$B$6:$B$125,"&gt;="&amp;$E33,'Back-end'!$J$6:$J$125,#REF!,'Back-end'!$B$6:$B$125,"&lt;="&amp;#REF!,'Back-end'!$B$6:$B$125,"&lt;="&amp;$F33,'Back-end'!$B$6:$B$125,"&gt;="&amp;#REF!,'Back-end'!$C$6:$C$125,"Summer"),0))</f>
        <v>0</v>
      </c>
      <c r="AL33" s="153">
        <f>IF(OR($A33="PTG",$A33="PTA"),SUMIFS('Back-end'!$H$6:$H$125,'Back-end'!$J$6:$J$125,AL$27,'Back-end'!$B$6:$B$125,"&gt;="&amp;$E33,'Back-end'!$J$6:$J$125,#REF!,'Back-end'!$B$6:$B$125,"&lt;="&amp;#REF!,'Back-end'!$B$6:$B$125,"&lt;="&amp;$F33,'Back-end'!$B$6:$B$125,"&gt;="&amp;#REF!),IF($A33="PTS",SUMIFS('Back-end'!$H$6:$H$125,'Back-end'!$J$6:$J$125,AL$27,'Back-end'!$B$6:$B$125,"&gt;="&amp;$E33,'Back-end'!$J$6:$J$125,#REF!,'Back-end'!$B$6:$B$125,"&lt;="&amp;#REF!,'Back-end'!$B$6:$B$125,"&lt;="&amp;$F33,'Back-end'!$B$6:$B$125,"&gt;="&amp;#REF!,'Back-end'!$C$6:$C$125,"Summer"),0))</f>
        <v>0</v>
      </c>
      <c r="AM33" s="153">
        <f>IF(OR($A33="PTG",$A33="PTA"),SUMIFS('Back-end'!$H$6:$H$125,'Back-end'!$J$6:$J$125,AM$27,'Back-end'!$B$6:$B$125,"&gt;="&amp;$E33,'Back-end'!$J$6:$J$125,#REF!,'Back-end'!$B$6:$B$125,"&lt;="&amp;#REF!,'Back-end'!$B$6:$B$125,"&lt;="&amp;$F33,'Back-end'!$B$6:$B$125,"&gt;="&amp;#REF!),IF($A33="PTS",SUMIFS('Back-end'!$H$6:$H$125,'Back-end'!$J$6:$J$125,AM$27,'Back-end'!$B$6:$B$125,"&gt;="&amp;$E33,'Back-end'!$J$6:$J$125,#REF!,'Back-end'!$B$6:$B$125,"&lt;="&amp;#REF!,'Back-end'!$B$6:$B$125,"&lt;="&amp;$F33,'Back-end'!$B$6:$B$125,"&gt;="&amp;#REF!,'Back-end'!$C$6:$C$125,"Summer"),0))</f>
        <v>0</v>
      </c>
      <c r="AN33" s="153">
        <f>IF(OR($A33="PTG",$A33="PTA"),SUMIFS('Back-end'!$H$6:$H$125,'Back-end'!$J$6:$J$125,AN$27,'Back-end'!$B$6:$B$125,"&gt;="&amp;$E33,'Back-end'!$J$6:$J$125,#REF!,'Back-end'!$B$6:$B$125,"&lt;="&amp;#REF!,'Back-end'!$B$6:$B$125,"&lt;="&amp;$F33,'Back-end'!$B$6:$B$125,"&gt;="&amp;#REF!),IF($A33="PTS",SUMIFS('Back-end'!$H$6:$H$125,'Back-end'!$J$6:$J$125,AN$27,'Back-end'!$B$6:$B$125,"&gt;="&amp;$E33,'Back-end'!$J$6:$J$125,#REF!,'Back-end'!$B$6:$B$125,"&lt;="&amp;#REF!,'Back-end'!$B$6:$B$125,"&lt;="&amp;$F33,'Back-end'!$B$6:$B$125,"&gt;="&amp;#REF!,'Back-end'!$C$6:$C$125,"Summer"),0))</f>
        <v>0</v>
      </c>
      <c r="AO33" s="153">
        <f>IF(OR($A33="PTG",$A33="PTA"),SUMIFS('Back-end'!$H$6:$H$125,'Back-end'!$J$6:$J$125,AO$27,'Back-end'!$B$6:$B$125,"&gt;="&amp;$E33,'Back-end'!$J$6:$J$125,#REF!,'Back-end'!$B$6:$B$125,"&lt;="&amp;#REF!,'Back-end'!$B$6:$B$125,"&lt;="&amp;$F33,'Back-end'!$B$6:$B$125,"&gt;="&amp;#REF!),IF($A33="PTS",SUMIFS('Back-end'!$H$6:$H$125,'Back-end'!$J$6:$J$125,AO$27,'Back-end'!$B$6:$B$125,"&gt;="&amp;$E33,'Back-end'!$J$6:$J$125,#REF!,'Back-end'!$B$6:$B$125,"&lt;="&amp;#REF!,'Back-end'!$B$6:$B$125,"&lt;="&amp;$F33,'Back-end'!$B$6:$B$125,"&gt;="&amp;#REF!,'Back-end'!$C$6:$C$125,"Summer"),0))</f>
        <v>0</v>
      </c>
      <c r="AP33" s="153">
        <f>IF(OR($A33="PTG",$A33="PTA"),SUMIFS('Back-end'!$H$6:$H$125,'Back-end'!$J$6:$J$125,AP$27,'Back-end'!$B$6:$B$125,"&gt;="&amp;$E33,'Back-end'!$J$6:$J$125,#REF!,'Back-end'!$B$6:$B$125,"&lt;="&amp;#REF!,'Back-end'!$B$6:$B$125,"&lt;="&amp;$F33,'Back-end'!$B$6:$B$125,"&gt;="&amp;#REF!),IF($A33="PTS",SUMIFS('Back-end'!$H$6:$H$125,'Back-end'!$J$6:$J$125,AP$27,'Back-end'!$B$6:$B$125,"&gt;="&amp;$E33,'Back-end'!$J$6:$J$125,#REF!,'Back-end'!$B$6:$B$125,"&lt;="&amp;#REF!,'Back-end'!$B$6:$B$125,"&lt;="&amp;$F33,'Back-end'!$B$6:$B$125,"&gt;="&amp;#REF!,'Back-end'!$C$6:$C$125,"Summer"),0))</f>
        <v>0</v>
      </c>
      <c r="AQ33" s="2">
        <f>IF(OR($A33="PTG",$A33="PTA"),SUMIFS('Back-end'!$I$6:$I$125,'Back-end'!$J$6:$J$125,W$27,'Back-end'!$B$6:$B$125,"&gt;="&amp;$E33,'Back-end'!$J$6:$J$125,I$16,'Back-end'!$B$6:$B$125,"&lt;="&amp;I$18,'Back-end'!$B$6:$B$125,"&lt;="&amp;$F33,'Back-end'!$B$6:$B$125,"&gt;="&amp;I$17),0)</f>
        <v>0</v>
      </c>
      <c r="AR33" s="2">
        <f>IF(OR($A33="PTG",$A33="PTA"),SUMIFS('Back-end'!$I$6:$I$125,'Back-end'!$J$6:$J$125,X$27,'Back-end'!$B$6:$B$125,"&gt;="&amp;$E33,'Back-end'!$J$6:$J$125,J$16,'Back-end'!$B$6:$B$125,"&lt;="&amp;J$18,'Back-end'!$B$6:$B$125,"&lt;="&amp;$F33,'Back-end'!$B$6:$B$125,"&gt;="&amp;J$17),0)</f>
        <v>0</v>
      </c>
      <c r="AS33" s="2">
        <f>IF(OR($A33="PTG",$A33="PTA"),SUMIFS('Back-end'!$I$6:$I$125,'Back-end'!$J$6:$J$125,Y$27,'Back-end'!$B$6:$B$125,"&gt;="&amp;$E33,'Back-end'!$J$6:$J$125,#REF!,'Back-end'!$B$6:$B$125,"&lt;="&amp;#REF!,'Back-end'!$B$6:$B$125,"&lt;="&amp;$F33,'Back-end'!$B$6:$B$125,"&gt;="&amp;#REF!),0)</f>
        <v>0</v>
      </c>
      <c r="AT33" s="2">
        <f>IF(OR($A33="PTG",$A33="PTA"),SUMIFS('Back-end'!$I$6:$I$125,'Back-end'!$J$6:$J$125,Z$27,'Back-end'!$B$6:$B$125,"&gt;="&amp;$E33,'Back-end'!$J$6:$J$125,#REF!,'Back-end'!$B$6:$B$125,"&lt;="&amp;#REF!,'Back-end'!$B$6:$B$125,"&lt;="&amp;$F33,'Back-end'!$B$6:$B$125,"&gt;="&amp;#REF!),0)</f>
        <v>0</v>
      </c>
      <c r="AU33" s="2">
        <f>IF(OR($A33="PTG",$A33="PTA"),SUMIFS('Back-end'!$I$6:$I$125,'Back-end'!$J$6:$J$125,AA$27,'Back-end'!$B$6:$B$125,"&gt;="&amp;$E33,'Back-end'!$J$6:$J$125,#REF!,'Back-end'!$B$6:$B$125,"&lt;="&amp;#REF!,'Back-end'!$B$6:$B$125,"&lt;="&amp;$F33,'Back-end'!$B$6:$B$125,"&gt;="&amp;#REF!),0)</f>
        <v>0</v>
      </c>
      <c r="AV33" s="2">
        <f>IF(OR($A33="PTG",$A33="PTA"),SUMIFS('Back-end'!$I$6:$I$125,'Back-end'!$J$6:$J$125,AB$27,'Back-end'!$B$6:$B$125,"&gt;="&amp;$E33,'Back-end'!$J$6:$J$125,#REF!,'Back-end'!$B$6:$B$125,"&lt;="&amp;#REF!,'Back-end'!$B$6:$B$125,"&lt;="&amp;$F33,'Back-end'!$B$6:$B$125,"&gt;="&amp;#REF!),0)</f>
        <v>0</v>
      </c>
      <c r="AW33" s="2">
        <f>IF(OR($A33="PTG",$A33="PTA"),SUMIFS('Back-end'!$I$6:$I$125,'Back-end'!$J$6:$J$125,AC$27,'Back-end'!$B$6:$B$125,"&gt;="&amp;$E33,'Back-end'!$J$6:$J$125,#REF!,'Back-end'!$B$6:$B$125,"&lt;="&amp;#REF!,'Back-end'!$B$6:$B$125,"&lt;="&amp;$F33,'Back-end'!$B$6:$B$125,"&gt;="&amp;#REF!),0)</f>
        <v>0</v>
      </c>
      <c r="AX33" s="2">
        <f>IF(OR($A33="PTG",$A33="PTA"),SUMIFS('Back-end'!$I$6:$I$125,'Back-end'!$J$6:$J$125,AD$27,'Back-end'!$B$6:$B$125,"&gt;="&amp;$E33,'Back-end'!$J$6:$J$125,#REF!,'Back-end'!$B$6:$B$125,"&lt;="&amp;#REF!,'Back-end'!$B$6:$B$125,"&lt;="&amp;$F33,'Back-end'!$B$6:$B$125,"&gt;="&amp;#REF!),0)</f>
        <v>0</v>
      </c>
      <c r="AY33" s="2">
        <f>IF(OR($A33="PTG",$A33="PTA"),SUMIFS('Back-end'!$I$6:$I$125,'Back-end'!$J$6:$J$125,AE$27,'Back-end'!$B$6:$B$125,"&gt;="&amp;$E33,'Back-end'!$J$6:$J$125,#REF!,'Back-end'!$B$6:$B$125,"&lt;="&amp;#REF!,'Back-end'!$B$6:$B$125,"&lt;="&amp;$F33,'Back-end'!$B$6:$B$125,"&gt;="&amp;#REF!),0)</f>
        <v>0</v>
      </c>
      <c r="AZ33" s="2">
        <f>IF(OR($A33="PTG",$A33="PTA"),SUMIFS('Back-end'!$I$6:$I$125,'Back-end'!$J$6:$J$125,AF$27,'Back-end'!$B$6:$B$125,"&gt;="&amp;$E33,'Back-end'!$J$6:$J$125,#REF!,'Back-end'!$B$6:$B$125,"&lt;="&amp;#REF!,'Back-end'!$B$6:$B$125,"&lt;="&amp;$F33,'Back-end'!$B$6:$B$125,"&gt;="&amp;#REF!),0)</f>
        <v>0</v>
      </c>
      <c r="BU33" s="268"/>
      <c r="BV33" s="268"/>
      <c r="BW33" s="267"/>
    </row>
    <row r="34" spans="1:75" hidden="1" outlineLevel="1" x14ac:dyDescent="0.25">
      <c r="A34" t="str">
        <f>VLOOKUP(C34,'Back-end'!$S$43:$T$55, 2, FALSE)</f>
        <v>PTG</v>
      </c>
      <c r="B34">
        <f>VLOOKUP(C34,'Back-end'!$S$43:$U$55, 3, FALSE)</f>
        <v>12</v>
      </c>
      <c r="C34" s="211" t="s">
        <v>15</v>
      </c>
      <c r="D34" s="211"/>
      <c r="E34" s="148"/>
      <c r="F34" s="4"/>
      <c r="G34" s="82"/>
      <c r="H34" s="147"/>
      <c r="I34" s="241">
        <v>0</v>
      </c>
      <c r="J34" s="243"/>
      <c r="K34" s="243"/>
      <c r="L34" s="242">
        <f>SUM(I34:K34)</f>
        <v>0</v>
      </c>
      <c r="M34" s="153" t="e">
        <f>IF(N(I$17)&gt;0,IF(OR($A34="PTS",$A34="PTG",$A34="PTU"),IF(MONTH(I$17)&lt;7,($G34*$H34/$B34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34,'Back-end'!$B$6:$B$125,"&lt;="&amp;I$18,'Back-end'!$B$6:$B$125,"&lt;="&amp;$F34,'Back-end'!$B$6:$B$125,"&gt;="&amp;I$17))+
($G34*$H34/$B34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34,'Back-end'!$B$6:$B$125,"&lt;="&amp;I$18,'Back-end'!$B$6:$B$125,"&lt;="&amp;$F34,'Back-end'!$B$6:$B$125,"&gt;="&amp;I$17)),
IF(MONTH(I$18)=7,
(($G34*$H34/$B34*INDEX('Back-end'!$T$23:$X$29,MATCH("PTS",'Back-end'!$S$23:$S$29,0),MATCH(INDEX('Back-end'!$B$6:$E$125,MATCH(DATE(YEAR(I$18),MONTH(I$18),DAY(1)),'Back-end'!$B$6:$B$125,0),4),'Back-end'!$T$22:$X$22,0))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34,'Back-end'!$B$6:$B$125,"&lt;="&amp;I$18,'Back-end'!$B$6:$B$125,"&lt;="&amp;$F34,'Back-end'!$B$6:$B$125,"&gt;="&amp;I$17))+
($G34*$H34/$B34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34,'Back-end'!$B$6:$B$125,"&lt;="&amp;I$18,'Back-end'!$B$6:$B$125,"&lt;="&amp;$F34,'Back-end'!$B$6:$B$125,"&gt;="&amp;I$17))),
(($G34*$H34/$B34*INDEX('Back-end'!$T$23:$X$29,MATCH("PTS",'Back-end'!$S$23:$S$29,0),MATCH(INDEX('Back-end'!$B$6:$E$125,MATCH(DATE(YEAR(I$17),MONTH(I$17),DAY(1)),'Back-end'!$B$6:$B$125,0),4),'Back-end'!$T$22:$X$22,0))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34,'Back-end'!$B$6:$B$125,"&lt;="&amp;I$18,'Back-end'!$B$6:$B$125,"&lt;="&amp;$F34,'Back-end'!$B$6:$B$125,"&gt;="&amp;I$17))+
($G34*$H34/$B34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34,'Back-end'!$B$6:$B$125,"&lt;="&amp;I$18,'Back-end'!$B$6:$B$125,"&lt;="&amp;$F34,'Back-end'!$B$6:$B$125,"&gt;="&amp;I$17)))))),0)</f>
        <v>#N/A</v>
      </c>
      <c r="N34" s="153" t="e">
        <f>IF(N(J$17)&gt;0,IF(OR($A34="PTS",$A34="PTG",$A34="PTU"),IF(MONTH(J$17)&lt;7,($G34*$H34/$B34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34,'Back-end'!$B$6:$B$125,"&lt;="&amp;J$18,'Back-end'!$B$6:$B$125,"&lt;="&amp;$F34,'Back-end'!$B$6:$B$125,"&gt;="&amp;J$17))+
($G34*$H34/$B34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34,'Back-end'!$B$6:$B$125,"&lt;="&amp;J$18,'Back-end'!$B$6:$B$125,"&lt;="&amp;$F34,'Back-end'!$B$6:$B$125,"&gt;="&amp;J$17)),
IF(MONTH(J$18)=7,
(($G34*$H34/$B34*INDEX('Back-end'!$T$23:$X$29,MATCH("PTS",'Back-end'!$S$23:$S$29,0),MATCH(INDEX('Back-end'!$B$6:$E$125,MATCH(DATE(YEAR(J$18),MONTH(J$18),DAY(1)),'Back-end'!$B$6:$B$125,0),4),'Back-end'!$T$22:$X$22,0))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34,'Back-end'!$B$6:$B$125,"&lt;="&amp;J$18,'Back-end'!$B$6:$B$125,"&lt;="&amp;$F34,'Back-end'!$B$6:$B$125,"&gt;="&amp;J$17))+
($G34*$H34/$B34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34,'Back-end'!$B$6:$B$125,"&lt;="&amp;J$18,'Back-end'!$B$6:$B$125,"&lt;="&amp;$F34,'Back-end'!$B$6:$B$125,"&gt;="&amp;J$17))),
(($G34*$H34/$B34*INDEX('Back-end'!$T$23:$X$29,MATCH("PTS",'Back-end'!$S$23:$S$29,0),MATCH(INDEX('Back-end'!$B$6:$E$125,MATCH(DATE(YEAR(J$17),MONTH(J$17),DAY(1)),'Back-end'!$B$6:$B$125,0),4),'Back-end'!$T$22:$X$22,0))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34,'Back-end'!$B$6:$B$125,"&lt;="&amp;J$18,'Back-end'!$B$6:$B$125,"&lt;="&amp;$F34,'Back-end'!$B$6:$B$125,"&gt;="&amp;J$17))+
($G34*$H34/$B34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34,'Back-end'!$B$6:$B$125,"&lt;="&amp;J$18,'Back-end'!$B$6:$B$125,"&lt;="&amp;$F34,'Back-end'!$B$6:$B$125,"&gt;="&amp;J$17)))))),0)</f>
        <v>#N/A</v>
      </c>
      <c r="O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P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Q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R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S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T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U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V34" s="153" t="e">
        <f>IF(N(#REF!)&gt;0,IF(OR($A34="PTS",$A34="PTG",$A34="PTU"),IF(MONTH(#REF!)&lt;7,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,
IF(MONTH(#REF!)=7,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),
(($G34*$H34/$B34*INDEX('Back-end'!$T$23:$X$29,MATCH("PTS",'Back-end'!$S$23:$S$29,0),MATCH(INDEX('Back-end'!$B$6:$E$125,MATCH(DATE(YEAR(#REF!),MONTH(#REF!),DAY(1)),'Back-end'!$B$6:$B$125,0),4),'Back-end'!$T$22:$X$22,0))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34,'Back-end'!$B$6:$B$125,"&lt;="&amp;#REF!,'Back-end'!$B$6:$B$125,"&lt;="&amp;$F34,'Back-end'!$B$6:$B$125,"&gt;="&amp;#REF!))+
($G34*$H34/$B34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34,'Back-end'!$B$6:$B$125,"&lt;="&amp;#REF!,'Back-end'!$B$6:$B$125,"&lt;="&amp;$F34,'Back-end'!$B$6:$B$125,"&gt;="&amp;#REF!)))))),0)</f>
        <v>#REF!</v>
      </c>
      <c r="W34" s="2">
        <f>IF(OR($A34="PTG",$A34="PTA"),SUMIFS('Back-end'!$G$6:$G$125,'Back-end'!$J$6:$J$125,W$27,'Back-end'!$B$6:$B$125,"&gt;="&amp;$E34,'Back-end'!$J$6:$J$125,I$16,'Back-end'!$B$6:$B$125,"&lt;="&amp;I$18,'Back-end'!$B$6:$B$125,"&lt;="&amp;$F34,'Back-end'!$B$6:$B$125,"&gt;="&amp;I$17),0)</f>
        <v>0</v>
      </c>
      <c r="X34" s="2">
        <f>IF(OR($A34="PTG",$A34="PTA"),SUMIFS('Back-end'!$G$6:$G$125,'Back-end'!$J$6:$J$125,X$27,'Back-end'!$B$6:$B$125,"&gt;="&amp;$E34,'Back-end'!$J$6:$J$125,J$16,'Back-end'!$B$6:$B$125,"&lt;="&amp;J$18,'Back-end'!$B$6:$B$125,"&lt;="&amp;$F34,'Back-end'!$B$6:$B$125,"&gt;="&amp;J$17),0)</f>
        <v>0</v>
      </c>
      <c r="Y34" s="2">
        <f>IF(OR($A34="PTG",$A34="PTA"),SUMIFS('Back-end'!$G$6:$G$125,'Back-end'!$J$6:$J$125,Y$27,'Back-end'!$B$6:$B$125,"&gt;="&amp;$E34,'Back-end'!$J$6:$J$125,#REF!,'Back-end'!$B$6:$B$125,"&lt;="&amp;#REF!,'Back-end'!$B$6:$B$125,"&lt;="&amp;$F34,'Back-end'!$B$6:$B$125,"&gt;="&amp;#REF!),0)</f>
        <v>0</v>
      </c>
      <c r="Z34" s="2">
        <f>IF(OR($A34="PTG",$A34="PTA"),SUMIFS('Back-end'!$G$6:$G$125,'Back-end'!$J$6:$J$125,Z$27,'Back-end'!$B$6:$B$125,"&gt;="&amp;$E34,'Back-end'!$J$6:$J$125,#REF!,'Back-end'!$B$6:$B$125,"&lt;="&amp;#REF!,'Back-end'!$B$6:$B$125,"&lt;="&amp;$F34,'Back-end'!$B$6:$B$125,"&gt;="&amp;#REF!),0)</f>
        <v>0</v>
      </c>
      <c r="AA34" s="2">
        <f>IF(OR($A34="PTG",$A34="PTA"),SUMIFS('Back-end'!$G$6:$G$125,'Back-end'!$J$6:$J$125,AA$27,'Back-end'!$B$6:$B$125,"&gt;="&amp;$E34,'Back-end'!$J$6:$J$125,#REF!,'Back-end'!$B$6:$B$125,"&lt;="&amp;#REF!,'Back-end'!$B$6:$B$125,"&lt;="&amp;$F34,'Back-end'!$B$6:$B$125,"&gt;="&amp;#REF!),0)</f>
        <v>0</v>
      </c>
      <c r="AB34" s="2">
        <f>IF(OR($A34="PTG",$A34="PTA"),SUMIFS('Back-end'!$G$6:$G$125,'Back-end'!$J$6:$J$125,AB$27,'Back-end'!$B$6:$B$125,"&gt;="&amp;$E34,'Back-end'!$J$6:$J$125,#REF!,'Back-end'!$B$6:$B$125,"&lt;="&amp;#REF!,'Back-end'!$B$6:$B$125,"&lt;="&amp;$F34,'Back-end'!$B$6:$B$125,"&gt;="&amp;#REF!),0)</f>
        <v>0</v>
      </c>
      <c r="AC34" s="2">
        <f>IF(OR($A34="PTG",$A34="PTA"),SUMIFS('Back-end'!$G$6:$G$125,'Back-end'!$J$6:$J$125,AC$27,'Back-end'!$B$6:$B$125,"&gt;="&amp;$E34,'Back-end'!$J$6:$J$125,#REF!,'Back-end'!$B$6:$B$125,"&lt;="&amp;#REF!,'Back-end'!$B$6:$B$125,"&lt;="&amp;$F34,'Back-end'!$B$6:$B$125,"&gt;="&amp;#REF!),0)</f>
        <v>0</v>
      </c>
      <c r="AD34" s="2">
        <f>IF(OR($A34="PTG",$A34="PTA"),SUMIFS('Back-end'!$G$6:$G$125,'Back-end'!$J$6:$J$125,AD$27,'Back-end'!$B$6:$B$125,"&gt;="&amp;$E34,'Back-end'!$J$6:$J$125,#REF!,'Back-end'!$B$6:$B$125,"&lt;="&amp;#REF!,'Back-end'!$B$6:$B$125,"&lt;="&amp;$F34,'Back-end'!$B$6:$B$125,"&gt;="&amp;#REF!),0)</f>
        <v>0</v>
      </c>
      <c r="AE34" s="2">
        <f>IF(OR($A34="PTG",$A34="PTA"),SUMIFS('Back-end'!$G$6:$G$125,'Back-end'!$J$6:$J$125,AE$27,'Back-end'!$B$6:$B$125,"&gt;="&amp;$E34,'Back-end'!$J$6:$J$125,#REF!,'Back-end'!$B$6:$B$125,"&lt;="&amp;#REF!,'Back-end'!$B$6:$B$125,"&lt;="&amp;$F34,'Back-end'!$B$6:$B$125,"&gt;="&amp;#REF!),0)</f>
        <v>0</v>
      </c>
      <c r="AF34" s="2">
        <f>IF(OR($A34="PTG",$A34="PTA"),SUMIFS('Back-end'!$G$6:$G$125,'Back-end'!$J$6:$J$125,AF$27,'Back-end'!$B$6:$B$125,"&gt;="&amp;$E34,'Back-end'!$J$6:$J$125,#REF!,'Back-end'!$B$6:$B$125,"&lt;="&amp;#REF!,'Back-end'!$B$6:$B$125,"&lt;="&amp;$F34,'Back-end'!$B$6:$B$125,"&gt;="&amp;#REF!),0)</f>
        <v>0</v>
      </c>
      <c r="AG34" s="153">
        <f>IF(OR($A34="PTG",$A34="PTA"),SUMIFS('Back-end'!$H$6:$H$125,'Back-end'!$J$6:$J$125,AG$27,'Back-end'!$B$6:$B$125,"&gt;="&amp;$E34,'Back-end'!$J$6:$J$125,I$16,'Back-end'!$B$6:$B$125,"&lt;="&amp;I$18,'Back-end'!$B$6:$B$125,"&lt;="&amp;$F34,'Back-end'!$B$6:$B$125,"&gt;="&amp;I$17),IF($A34="PTS",SUMIFS('Back-end'!$H$6:$H$125,'Back-end'!$J$6:$J$125,AG$27,'Back-end'!$B$6:$B$125,"&gt;="&amp;$E34,'Back-end'!$J$6:$J$125,I$16,'Back-end'!$B$6:$B$125,"&lt;="&amp;I$18,'Back-end'!$B$6:$B$125,"&lt;="&amp;$F34,'Back-end'!$B$6:$B$125,"&gt;="&amp;I$17,'Back-end'!$C$6:$C$125,"Summer"),0))</f>
        <v>0</v>
      </c>
      <c r="AH34" s="153">
        <f>IF(OR($A34="PTG",$A34="PTA"),SUMIFS('Back-end'!$H$6:$H$125,'Back-end'!$J$6:$J$125,AH$27,'Back-end'!$B$6:$B$125,"&gt;="&amp;$E34,'Back-end'!$J$6:$J$125,J$16,'Back-end'!$B$6:$B$125,"&lt;="&amp;J$18,'Back-end'!$B$6:$B$125,"&lt;="&amp;$F34,'Back-end'!$B$6:$B$125,"&gt;="&amp;J$17),IF($A34="PTS",SUMIFS('Back-end'!$H$6:$H$125,'Back-end'!$J$6:$J$125,AH$27,'Back-end'!$B$6:$B$125,"&gt;="&amp;$E34,'Back-end'!$J$6:$J$125,J$16,'Back-end'!$B$6:$B$125,"&lt;="&amp;J$18,'Back-end'!$B$6:$B$125,"&lt;="&amp;$F34,'Back-end'!$B$6:$B$125,"&gt;="&amp;J$17,'Back-end'!$C$6:$C$125,"Summer"),0))</f>
        <v>0</v>
      </c>
      <c r="AI34" s="153">
        <f>IF(OR($A34="PTG",$A34="PTA"),SUMIFS('Back-end'!$H$6:$H$125,'Back-end'!$J$6:$J$125,AI$27,'Back-end'!$B$6:$B$125,"&gt;="&amp;$E34,'Back-end'!$J$6:$J$125,#REF!,'Back-end'!$B$6:$B$125,"&lt;="&amp;#REF!,'Back-end'!$B$6:$B$125,"&lt;="&amp;$F34,'Back-end'!$B$6:$B$125,"&gt;="&amp;#REF!),IF($A34="PTS",SUMIFS('Back-end'!$H$6:$H$125,'Back-end'!$J$6:$J$125,AI$27,'Back-end'!$B$6:$B$125,"&gt;="&amp;$E34,'Back-end'!$J$6:$J$125,#REF!,'Back-end'!$B$6:$B$125,"&lt;="&amp;#REF!,'Back-end'!$B$6:$B$125,"&lt;="&amp;$F34,'Back-end'!$B$6:$B$125,"&gt;="&amp;#REF!,'Back-end'!$C$6:$C$125,"Summer"),0))</f>
        <v>0</v>
      </c>
      <c r="AJ34" s="153">
        <f>IF(OR($A34="PTG",$A34="PTA"),SUMIFS('Back-end'!$H$6:$H$125,'Back-end'!$J$6:$J$125,AJ$27,'Back-end'!$B$6:$B$125,"&gt;="&amp;$E34,'Back-end'!$J$6:$J$125,#REF!,'Back-end'!$B$6:$B$125,"&lt;="&amp;#REF!,'Back-end'!$B$6:$B$125,"&lt;="&amp;$F34,'Back-end'!$B$6:$B$125,"&gt;="&amp;#REF!),IF($A34="PTS",SUMIFS('Back-end'!$H$6:$H$125,'Back-end'!$J$6:$J$125,AJ$27,'Back-end'!$B$6:$B$125,"&gt;="&amp;$E34,'Back-end'!$J$6:$J$125,#REF!,'Back-end'!$B$6:$B$125,"&lt;="&amp;#REF!,'Back-end'!$B$6:$B$125,"&lt;="&amp;$F34,'Back-end'!$B$6:$B$125,"&gt;="&amp;#REF!,'Back-end'!$C$6:$C$125,"Summer"),0))</f>
        <v>0</v>
      </c>
      <c r="AK34" s="153">
        <f>IF(OR($A34="PTG",$A34="PTA"),SUMIFS('Back-end'!$H$6:$H$125,'Back-end'!$J$6:$J$125,AK$27,'Back-end'!$B$6:$B$125,"&gt;="&amp;$E34,'Back-end'!$J$6:$J$125,#REF!,'Back-end'!$B$6:$B$125,"&lt;="&amp;#REF!,'Back-end'!$B$6:$B$125,"&lt;="&amp;$F34,'Back-end'!$B$6:$B$125,"&gt;="&amp;#REF!),IF($A34="PTS",SUMIFS('Back-end'!$H$6:$H$125,'Back-end'!$J$6:$J$125,AK$27,'Back-end'!$B$6:$B$125,"&gt;="&amp;$E34,'Back-end'!$J$6:$J$125,#REF!,'Back-end'!$B$6:$B$125,"&lt;="&amp;#REF!,'Back-end'!$B$6:$B$125,"&lt;="&amp;$F34,'Back-end'!$B$6:$B$125,"&gt;="&amp;#REF!,'Back-end'!$C$6:$C$125,"Summer"),0))</f>
        <v>0</v>
      </c>
      <c r="AL34" s="153">
        <f>IF(OR($A34="PTG",$A34="PTA"),SUMIFS('Back-end'!$H$6:$H$125,'Back-end'!$J$6:$J$125,AL$27,'Back-end'!$B$6:$B$125,"&gt;="&amp;$E34,'Back-end'!$J$6:$J$125,#REF!,'Back-end'!$B$6:$B$125,"&lt;="&amp;#REF!,'Back-end'!$B$6:$B$125,"&lt;="&amp;$F34,'Back-end'!$B$6:$B$125,"&gt;="&amp;#REF!),IF($A34="PTS",SUMIFS('Back-end'!$H$6:$H$125,'Back-end'!$J$6:$J$125,AL$27,'Back-end'!$B$6:$B$125,"&gt;="&amp;$E34,'Back-end'!$J$6:$J$125,#REF!,'Back-end'!$B$6:$B$125,"&lt;="&amp;#REF!,'Back-end'!$B$6:$B$125,"&lt;="&amp;$F34,'Back-end'!$B$6:$B$125,"&gt;="&amp;#REF!,'Back-end'!$C$6:$C$125,"Summer"),0))</f>
        <v>0</v>
      </c>
      <c r="AM34" s="153">
        <f>IF(OR($A34="PTG",$A34="PTA"),SUMIFS('Back-end'!$H$6:$H$125,'Back-end'!$J$6:$J$125,AM$27,'Back-end'!$B$6:$B$125,"&gt;="&amp;$E34,'Back-end'!$J$6:$J$125,#REF!,'Back-end'!$B$6:$B$125,"&lt;="&amp;#REF!,'Back-end'!$B$6:$B$125,"&lt;="&amp;$F34,'Back-end'!$B$6:$B$125,"&gt;="&amp;#REF!),IF($A34="PTS",SUMIFS('Back-end'!$H$6:$H$125,'Back-end'!$J$6:$J$125,AM$27,'Back-end'!$B$6:$B$125,"&gt;="&amp;$E34,'Back-end'!$J$6:$J$125,#REF!,'Back-end'!$B$6:$B$125,"&lt;="&amp;#REF!,'Back-end'!$B$6:$B$125,"&lt;="&amp;$F34,'Back-end'!$B$6:$B$125,"&gt;="&amp;#REF!,'Back-end'!$C$6:$C$125,"Summer"),0))</f>
        <v>0</v>
      </c>
      <c r="AN34" s="153">
        <f>IF(OR($A34="PTG",$A34="PTA"),SUMIFS('Back-end'!$H$6:$H$125,'Back-end'!$J$6:$J$125,AN$27,'Back-end'!$B$6:$B$125,"&gt;="&amp;$E34,'Back-end'!$J$6:$J$125,#REF!,'Back-end'!$B$6:$B$125,"&lt;="&amp;#REF!,'Back-end'!$B$6:$B$125,"&lt;="&amp;$F34,'Back-end'!$B$6:$B$125,"&gt;="&amp;#REF!),IF($A34="PTS",SUMIFS('Back-end'!$H$6:$H$125,'Back-end'!$J$6:$J$125,AN$27,'Back-end'!$B$6:$B$125,"&gt;="&amp;$E34,'Back-end'!$J$6:$J$125,#REF!,'Back-end'!$B$6:$B$125,"&lt;="&amp;#REF!,'Back-end'!$B$6:$B$125,"&lt;="&amp;$F34,'Back-end'!$B$6:$B$125,"&gt;="&amp;#REF!,'Back-end'!$C$6:$C$125,"Summer"),0))</f>
        <v>0</v>
      </c>
      <c r="AO34" s="153">
        <f>IF(OR($A34="PTG",$A34="PTA"),SUMIFS('Back-end'!$H$6:$H$125,'Back-end'!$J$6:$J$125,AO$27,'Back-end'!$B$6:$B$125,"&gt;="&amp;$E34,'Back-end'!$J$6:$J$125,#REF!,'Back-end'!$B$6:$B$125,"&lt;="&amp;#REF!,'Back-end'!$B$6:$B$125,"&lt;="&amp;$F34,'Back-end'!$B$6:$B$125,"&gt;="&amp;#REF!),IF($A34="PTS",SUMIFS('Back-end'!$H$6:$H$125,'Back-end'!$J$6:$J$125,AO$27,'Back-end'!$B$6:$B$125,"&gt;="&amp;$E34,'Back-end'!$J$6:$J$125,#REF!,'Back-end'!$B$6:$B$125,"&lt;="&amp;#REF!,'Back-end'!$B$6:$B$125,"&lt;="&amp;$F34,'Back-end'!$B$6:$B$125,"&gt;="&amp;#REF!,'Back-end'!$C$6:$C$125,"Summer"),0))</f>
        <v>0</v>
      </c>
      <c r="AP34" s="153">
        <f>IF(OR($A34="PTG",$A34="PTA"),SUMIFS('Back-end'!$H$6:$H$125,'Back-end'!$J$6:$J$125,AP$27,'Back-end'!$B$6:$B$125,"&gt;="&amp;$E34,'Back-end'!$J$6:$J$125,#REF!,'Back-end'!$B$6:$B$125,"&lt;="&amp;#REF!,'Back-end'!$B$6:$B$125,"&lt;="&amp;$F34,'Back-end'!$B$6:$B$125,"&gt;="&amp;#REF!),IF($A34="PTS",SUMIFS('Back-end'!$H$6:$H$125,'Back-end'!$J$6:$J$125,AP$27,'Back-end'!$B$6:$B$125,"&gt;="&amp;$E34,'Back-end'!$J$6:$J$125,#REF!,'Back-end'!$B$6:$B$125,"&lt;="&amp;#REF!,'Back-end'!$B$6:$B$125,"&lt;="&amp;$F34,'Back-end'!$B$6:$B$125,"&gt;="&amp;#REF!,'Back-end'!$C$6:$C$125,"Summer"),0))</f>
        <v>0</v>
      </c>
      <c r="AQ34" s="2">
        <f>IF(OR($A34="PTG",$A34="PTA"),SUMIFS('Back-end'!$I$6:$I$125,'Back-end'!$J$6:$J$125,W$27,'Back-end'!$B$6:$B$125,"&gt;="&amp;$E34,'Back-end'!$J$6:$J$125,I$16,'Back-end'!$B$6:$B$125,"&lt;="&amp;I$18,'Back-end'!$B$6:$B$125,"&lt;="&amp;$F34,'Back-end'!$B$6:$B$125,"&gt;="&amp;I$17),0)</f>
        <v>0</v>
      </c>
      <c r="AR34" s="2">
        <f>IF(OR($A34="PTG",$A34="PTA"),SUMIFS('Back-end'!$I$6:$I$125,'Back-end'!$J$6:$J$125,X$27,'Back-end'!$B$6:$B$125,"&gt;="&amp;$E34,'Back-end'!$J$6:$J$125,J$16,'Back-end'!$B$6:$B$125,"&lt;="&amp;J$18,'Back-end'!$B$6:$B$125,"&lt;="&amp;$F34,'Back-end'!$B$6:$B$125,"&gt;="&amp;J$17),0)</f>
        <v>0</v>
      </c>
      <c r="AS34" s="2">
        <f>IF(OR($A34="PTG",$A34="PTA"),SUMIFS('Back-end'!$I$6:$I$125,'Back-end'!$J$6:$J$125,Y$27,'Back-end'!$B$6:$B$125,"&gt;="&amp;$E34,'Back-end'!$J$6:$J$125,#REF!,'Back-end'!$B$6:$B$125,"&lt;="&amp;#REF!,'Back-end'!$B$6:$B$125,"&lt;="&amp;$F34,'Back-end'!$B$6:$B$125,"&gt;="&amp;#REF!),0)</f>
        <v>0</v>
      </c>
      <c r="AT34" s="2">
        <f>IF(OR($A34="PTG",$A34="PTA"),SUMIFS('Back-end'!$I$6:$I$125,'Back-end'!$J$6:$J$125,Z$27,'Back-end'!$B$6:$B$125,"&gt;="&amp;$E34,'Back-end'!$J$6:$J$125,#REF!,'Back-end'!$B$6:$B$125,"&lt;="&amp;#REF!,'Back-end'!$B$6:$B$125,"&lt;="&amp;$F34,'Back-end'!$B$6:$B$125,"&gt;="&amp;#REF!),0)</f>
        <v>0</v>
      </c>
      <c r="AU34" s="2">
        <f>IF(OR($A34="PTG",$A34="PTA"),SUMIFS('Back-end'!$I$6:$I$125,'Back-end'!$J$6:$J$125,AA$27,'Back-end'!$B$6:$B$125,"&gt;="&amp;$E34,'Back-end'!$J$6:$J$125,#REF!,'Back-end'!$B$6:$B$125,"&lt;="&amp;#REF!,'Back-end'!$B$6:$B$125,"&lt;="&amp;$F34,'Back-end'!$B$6:$B$125,"&gt;="&amp;#REF!),0)</f>
        <v>0</v>
      </c>
      <c r="AV34" s="2">
        <f>IF(OR($A34="PTG",$A34="PTA"),SUMIFS('Back-end'!$I$6:$I$125,'Back-end'!$J$6:$J$125,AB$27,'Back-end'!$B$6:$B$125,"&gt;="&amp;$E34,'Back-end'!$J$6:$J$125,#REF!,'Back-end'!$B$6:$B$125,"&lt;="&amp;#REF!,'Back-end'!$B$6:$B$125,"&lt;="&amp;$F34,'Back-end'!$B$6:$B$125,"&gt;="&amp;#REF!),0)</f>
        <v>0</v>
      </c>
      <c r="AW34" s="2">
        <f>IF(OR($A34="PTG",$A34="PTA"),SUMIFS('Back-end'!$I$6:$I$125,'Back-end'!$J$6:$J$125,AC$27,'Back-end'!$B$6:$B$125,"&gt;="&amp;$E34,'Back-end'!$J$6:$J$125,#REF!,'Back-end'!$B$6:$B$125,"&lt;="&amp;#REF!,'Back-end'!$B$6:$B$125,"&lt;="&amp;$F34,'Back-end'!$B$6:$B$125,"&gt;="&amp;#REF!),0)</f>
        <v>0</v>
      </c>
      <c r="AX34" s="2">
        <f>IF(OR($A34="PTG",$A34="PTA"),SUMIFS('Back-end'!$I$6:$I$125,'Back-end'!$J$6:$J$125,AD$27,'Back-end'!$B$6:$B$125,"&gt;="&amp;$E34,'Back-end'!$J$6:$J$125,#REF!,'Back-end'!$B$6:$B$125,"&lt;="&amp;#REF!,'Back-end'!$B$6:$B$125,"&lt;="&amp;$F34,'Back-end'!$B$6:$B$125,"&gt;="&amp;#REF!),0)</f>
        <v>0</v>
      </c>
      <c r="AY34" s="2">
        <f>IF(OR($A34="PTG",$A34="PTA"),SUMIFS('Back-end'!$I$6:$I$125,'Back-end'!$J$6:$J$125,AE$27,'Back-end'!$B$6:$B$125,"&gt;="&amp;$E34,'Back-end'!$J$6:$J$125,#REF!,'Back-end'!$B$6:$B$125,"&lt;="&amp;#REF!,'Back-end'!$B$6:$B$125,"&lt;="&amp;$F34,'Back-end'!$B$6:$B$125,"&gt;="&amp;#REF!),0)</f>
        <v>0</v>
      </c>
      <c r="AZ34" s="2">
        <f>IF(OR($A34="PTG",$A34="PTA"),SUMIFS('Back-end'!$I$6:$I$125,'Back-end'!$J$6:$J$125,AF$27,'Back-end'!$B$6:$B$125,"&gt;="&amp;$E34,'Back-end'!$J$6:$J$125,#REF!,'Back-end'!$B$6:$B$125,"&lt;="&amp;#REF!,'Back-end'!$B$6:$B$125,"&lt;="&amp;$F34,'Back-end'!$B$6:$B$125,"&gt;="&amp;#REF!),0)</f>
        <v>0</v>
      </c>
      <c r="BU34" s="268"/>
      <c r="BV34" s="268"/>
      <c r="BW34" s="267"/>
    </row>
    <row r="35" spans="1:75" hidden="1" outlineLevel="1" x14ac:dyDescent="0.25">
      <c r="A35" t="str">
        <f>VLOOKUP(C35,'Back-end'!$S$43:$T$55, 2, FALSE)</f>
        <v>PTG</v>
      </c>
      <c r="B35">
        <f>VLOOKUP(C35,'Back-end'!$S$43:$U$55, 3, FALSE)</f>
        <v>12</v>
      </c>
      <c r="C35" s="211" t="s">
        <v>15</v>
      </c>
      <c r="D35" s="214"/>
      <c r="E35" s="148"/>
      <c r="F35" s="4"/>
      <c r="G35" s="82"/>
      <c r="H35" s="147"/>
      <c r="I35" s="241">
        <v>0</v>
      </c>
      <c r="J35" s="241">
        <v>0</v>
      </c>
      <c r="K35" s="241"/>
      <c r="L35" s="242">
        <f t="shared" si="0"/>
        <v>0</v>
      </c>
      <c r="M35" s="153" t="e">
        <f>IF(N(I$17)&gt;0,IF(OR($A35="PTS",$A35="PTG",$A35="PTU"),IF(MONTH(I$17)&lt;7,($G35*$H35/$B35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35,'Back-end'!$B$6:$B$125,"&lt;="&amp;I$18,'Back-end'!$B$6:$B$125,"&lt;="&amp;$F35,'Back-end'!$B$6:$B$125,"&gt;="&amp;I$17))+
($G35*$H35/$B35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35,'Back-end'!$B$6:$B$125,"&lt;="&amp;I$18,'Back-end'!$B$6:$B$125,"&lt;="&amp;$F35,'Back-end'!$B$6:$B$125,"&gt;="&amp;I$17)),
IF(MONTH(I$18)=7,
(($G35*$H35/$B35*INDEX('Back-end'!$T$23:$X$29,MATCH("PTS",'Back-end'!$S$23:$S$29,0),MATCH(INDEX('Back-end'!$B$6:$E$125,MATCH(DATE(YEAR(I$18),MONTH(I$18),DAY(1)),'Back-end'!$B$6:$B$125,0),4),'Back-end'!$T$22:$X$22,0))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35,'Back-end'!$B$6:$B$125,"&lt;="&amp;I$18,'Back-end'!$B$6:$B$125,"&lt;="&amp;$F35,'Back-end'!$B$6:$B$125,"&gt;="&amp;I$17))+
($G35*$H35/$B35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35,'Back-end'!$B$6:$B$125,"&lt;="&amp;I$18,'Back-end'!$B$6:$B$125,"&lt;="&amp;$F35,'Back-end'!$B$6:$B$125,"&gt;="&amp;I$17))),
(($G35*$H35/$B35*INDEX('Back-end'!$T$23:$X$29,MATCH("PTS",'Back-end'!$S$23:$S$29,0),MATCH(INDEX('Back-end'!$B$6:$E$125,MATCH(DATE(YEAR(I$17),MONTH(I$17),DAY(1)),'Back-end'!$B$6:$B$125,0),4),'Back-end'!$T$22:$X$22,0))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35,'Back-end'!$B$6:$B$125,"&lt;="&amp;I$18,'Back-end'!$B$6:$B$125,"&lt;="&amp;$F35,'Back-end'!$B$6:$B$125,"&gt;="&amp;I$17))+
($G35*$H35/$B35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35,'Back-end'!$B$6:$B$125,"&lt;="&amp;I$18,'Back-end'!$B$6:$B$125,"&lt;="&amp;$F35,'Back-end'!$B$6:$B$125,"&gt;="&amp;I$17)))))),0)</f>
        <v>#N/A</v>
      </c>
      <c r="N35" s="153" t="e">
        <f>IF(N(J$17)&gt;0,IF(OR($A35="PTS",$A35="PTG",$A35="PTU"),IF(MONTH(J$17)&lt;7,($G35*$H35/$B35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35,'Back-end'!$B$6:$B$125,"&lt;="&amp;J$18,'Back-end'!$B$6:$B$125,"&lt;="&amp;$F35,'Back-end'!$B$6:$B$125,"&gt;="&amp;J$17))+
($G35*$H35/$B35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35,'Back-end'!$B$6:$B$125,"&lt;="&amp;J$18,'Back-end'!$B$6:$B$125,"&lt;="&amp;$F35,'Back-end'!$B$6:$B$125,"&gt;="&amp;J$17)),
IF(MONTH(J$18)=7,
(($G35*$H35/$B35*INDEX('Back-end'!$T$23:$X$29,MATCH("PTS",'Back-end'!$S$23:$S$29,0),MATCH(INDEX('Back-end'!$B$6:$E$125,MATCH(DATE(YEAR(J$18),MONTH(J$18),DAY(1)),'Back-end'!$B$6:$B$125,0),4),'Back-end'!$T$22:$X$22,0))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35,'Back-end'!$B$6:$B$125,"&lt;="&amp;J$18,'Back-end'!$B$6:$B$125,"&lt;="&amp;$F35,'Back-end'!$B$6:$B$125,"&gt;="&amp;J$17))+
($G35*$H35/$B35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35,'Back-end'!$B$6:$B$125,"&lt;="&amp;J$18,'Back-end'!$B$6:$B$125,"&lt;="&amp;$F35,'Back-end'!$B$6:$B$125,"&gt;="&amp;J$17))),
(($G35*$H35/$B35*INDEX('Back-end'!$T$23:$X$29,MATCH("PTS",'Back-end'!$S$23:$S$29,0),MATCH(INDEX('Back-end'!$B$6:$E$125,MATCH(DATE(YEAR(J$17),MONTH(J$17),DAY(1)),'Back-end'!$B$6:$B$125,0),4),'Back-end'!$T$22:$X$22,0))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35,'Back-end'!$B$6:$B$125,"&lt;="&amp;J$18,'Back-end'!$B$6:$B$125,"&lt;="&amp;$F35,'Back-end'!$B$6:$B$125,"&gt;="&amp;J$17))+
($G35*$H35/$B35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35,'Back-end'!$B$6:$B$125,"&lt;="&amp;J$18,'Back-end'!$B$6:$B$125,"&lt;="&amp;$F35,'Back-end'!$B$6:$B$125,"&gt;="&amp;J$17)))))),0)</f>
        <v>#N/A</v>
      </c>
      <c r="O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P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Q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R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S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T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U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V35" s="153" t="e">
        <f>IF(N(#REF!)&gt;0,IF(OR($A35="PTS",$A35="PTG",$A35="PTU"),IF(MONTH(#REF!)&lt;7,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,
IF(MONTH(#REF!)=7,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),
(($G35*$H35/$B35*INDEX('Back-end'!$T$23:$X$29,MATCH("PTS",'Back-end'!$S$23:$S$29,0),MATCH(INDEX('Back-end'!$B$6:$E$125,MATCH(DATE(YEAR(#REF!),MONTH(#REF!),DAY(1)),'Back-end'!$B$6:$B$125,0),4),'Back-end'!$T$22:$X$22,0))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35,'Back-end'!$B$6:$B$125,"&lt;="&amp;#REF!,'Back-end'!$B$6:$B$125,"&lt;="&amp;$F35,'Back-end'!$B$6:$B$125,"&gt;="&amp;#REF!))+
($G35*$H35/$B35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35,'Back-end'!$B$6:$B$125,"&lt;="&amp;#REF!,'Back-end'!$B$6:$B$125,"&lt;="&amp;$F35,'Back-end'!$B$6:$B$125,"&gt;="&amp;#REF!)))))),0)</f>
        <v>#REF!</v>
      </c>
      <c r="W35" s="2">
        <f>IF(OR($A35="PTG",$A35="PTA"),SUMIFS('Back-end'!$G$6:$G$125,'Back-end'!$J$6:$J$125,W$27,'Back-end'!$B$6:$B$125,"&gt;="&amp;$E35,'Back-end'!$J$6:$J$125,I$16,'Back-end'!$B$6:$B$125,"&lt;="&amp;I$18,'Back-end'!$B$6:$B$125,"&lt;="&amp;$F35,'Back-end'!$B$6:$B$125,"&gt;="&amp;I$17),0)</f>
        <v>0</v>
      </c>
      <c r="X35" s="2">
        <f>IF(OR($A35="PTG",$A35="PTA"),SUMIFS('Back-end'!$G$6:$G$125,'Back-end'!$J$6:$J$125,X$27,'Back-end'!$B$6:$B$125,"&gt;="&amp;$E35,'Back-end'!$J$6:$J$125,J$16,'Back-end'!$B$6:$B$125,"&lt;="&amp;J$18,'Back-end'!$B$6:$B$125,"&lt;="&amp;$F35,'Back-end'!$B$6:$B$125,"&gt;="&amp;J$17),0)</f>
        <v>0</v>
      </c>
      <c r="Y35" s="2">
        <f>IF(OR($A35="PTG",$A35="PTA"),SUMIFS('Back-end'!$G$6:$G$125,'Back-end'!$J$6:$J$125,Y$27,'Back-end'!$B$6:$B$125,"&gt;="&amp;$E35,'Back-end'!$J$6:$J$125,#REF!,'Back-end'!$B$6:$B$125,"&lt;="&amp;#REF!,'Back-end'!$B$6:$B$125,"&lt;="&amp;$F35,'Back-end'!$B$6:$B$125,"&gt;="&amp;#REF!),0)</f>
        <v>0</v>
      </c>
      <c r="Z35" s="2">
        <f>IF(OR($A35="PTG",$A35="PTA"),SUMIFS('Back-end'!$G$6:$G$125,'Back-end'!$J$6:$J$125,Z$27,'Back-end'!$B$6:$B$125,"&gt;="&amp;$E35,'Back-end'!$J$6:$J$125,#REF!,'Back-end'!$B$6:$B$125,"&lt;="&amp;#REF!,'Back-end'!$B$6:$B$125,"&lt;="&amp;$F35,'Back-end'!$B$6:$B$125,"&gt;="&amp;#REF!),0)</f>
        <v>0</v>
      </c>
      <c r="AA35" s="2">
        <f>IF(OR($A35="PTG",$A35="PTA"),SUMIFS('Back-end'!$G$6:$G$125,'Back-end'!$J$6:$J$125,AA$27,'Back-end'!$B$6:$B$125,"&gt;="&amp;$E35,'Back-end'!$J$6:$J$125,#REF!,'Back-end'!$B$6:$B$125,"&lt;="&amp;#REF!,'Back-end'!$B$6:$B$125,"&lt;="&amp;$F35,'Back-end'!$B$6:$B$125,"&gt;="&amp;#REF!),0)</f>
        <v>0</v>
      </c>
      <c r="AB35" s="2">
        <f>IF(OR($A35="PTG",$A35="PTA"),SUMIFS('Back-end'!$G$6:$G$125,'Back-end'!$J$6:$J$125,AB$27,'Back-end'!$B$6:$B$125,"&gt;="&amp;$E35,'Back-end'!$J$6:$J$125,#REF!,'Back-end'!$B$6:$B$125,"&lt;="&amp;#REF!,'Back-end'!$B$6:$B$125,"&lt;="&amp;$F35,'Back-end'!$B$6:$B$125,"&gt;="&amp;#REF!),0)</f>
        <v>0</v>
      </c>
      <c r="AC35" s="2">
        <f>IF(OR($A35="PTG",$A35="PTA"),SUMIFS('Back-end'!$G$6:$G$125,'Back-end'!$J$6:$J$125,AC$27,'Back-end'!$B$6:$B$125,"&gt;="&amp;$E35,'Back-end'!$J$6:$J$125,#REF!,'Back-end'!$B$6:$B$125,"&lt;="&amp;#REF!,'Back-end'!$B$6:$B$125,"&lt;="&amp;$F35,'Back-end'!$B$6:$B$125,"&gt;="&amp;#REF!),0)</f>
        <v>0</v>
      </c>
      <c r="AD35" s="2">
        <f>IF(OR($A35="PTG",$A35="PTA"),SUMIFS('Back-end'!$G$6:$G$125,'Back-end'!$J$6:$J$125,AD$27,'Back-end'!$B$6:$B$125,"&gt;="&amp;$E35,'Back-end'!$J$6:$J$125,#REF!,'Back-end'!$B$6:$B$125,"&lt;="&amp;#REF!,'Back-end'!$B$6:$B$125,"&lt;="&amp;$F35,'Back-end'!$B$6:$B$125,"&gt;="&amp;#REF!),0)</f>
        <v>0</v>
      </c>
      <c r="AE35" s="2">
        <f>IF(OR($A35="PTG",$A35="PTA"),SUMIFS('Back-end'!$G$6:$G$125,'Back-end'!$J$6:$J$125,AE$27,'Back-end'!$B$6:$B$125,"&gt;="&amp;$E35,'Back-end'!$J$6:$J$125,#REF!,'Back-end'!$B$6:$B$125,"&lt;="&amp;#REF!,'Back-end'!$B$6:$B$125,"&lt;="&amp;$F35,'Back-end'!$B$6:$B$125,"&gt;="&amp;#REF!),0)</f>
        <v>0</v>
      </c>
      <c r="AF35" s="2">
        <f>IF(OR($A35="PTG",$A35="PTA"),SUMIFS('Back-end'!$G$6:$G$125,'Back-end'!$J$6:$J$125,AF$27,'Back-end'!$B$6:$B$125,"&gt;="&amp;$E35,'Back-end'!$J$6:$J$125,#REF!,'Back-end'!$B$6:$B$125,"&lt;="&amp;#REF!,'Back-end'!$B$6:$B$125,"&lt;="&amp;$F35,'Back-end'!$B$6:$B$125,"&gt;="&amp;#REF!),0)</f>
        <v>0</v>
      </c>
      <c r="AG35" s="153">
        <f>IF(OR($A35="PTG",$A35="PTA"),SUMIFS('Back-end'!$H$6:$H$125,'Back-end'!$J$6:$J$125,AG$27,'Back-end'!$B$6:$B$125,"&gt;="&amp;$E35,'Back-end'!$J$6:$J$125,I$16,'Back-end'!$B$6:$B$125,"&lt;="&amp;I$18,'Back-end'!$B$6:$B$125,"&lt;="&amp;$F35,'Back-end'!$B$6:$B$125,"&gt;="&amp;I$17),IF($A35="PTS",SUMIFS('Back-end'!$H$6:$H$125,'Back-end'!$J$6:$J$125,AG$27,'Back-end'!$B$6:$B$125,"&gt;="&amp;$E35,'Back-end'!$J$6:$J$125,I$16,'Back-end'!$B$6:$B$125,"&lt;="&amp;I$18,'Back-end'!$B$6:$B$125,"&lt;="&amp;$F35,'Back-end'!$B$6:$B$125,"&gt;="&amp;I$17,'Back-end'!$C$6:$C$125,"Summer"),0))</f>
        <v>0</v>
      </c>
      <c r="AH35" s="153">
        <f>IF(OR($A35="PTG",$A35="PTA"),SUMIFS('Back-end'!$H$6:$H$125,'Back-end'!$J$6:$J$125,AH$27,'Back-end'!$B$6:$B$125,"&gt;="&amp;$E35,'Back-end'!$J$6:$J$125,J$16,'Back-end'!$B$6:$B$125,"&lt;="&amp;J$18,'Back-end'!$B$6:$B$125,"&lt;="&amp;$F35,'Back-end'!$B$6:$B$125,"&gt;="&amp;J$17),IF($A35="PTS",SUMIFS('Back-end'!$H$6:$H$125,'Back-end'!$J$6:$J$125,AH$27,'Back-end'!$B$6:$B$125,"&gt;="&amp;$E35,'Back-end'!$J$6:$J$125,J$16,'Back-end'!$B$6:$B$125,"&lt;="&amp;J$18,'Back-end'!$B$6:$B$125,"&lt;="&amp;$F35,'Back-end'!$B$6:$B$125,"&gt;="&amp;J$17,'Back-end'!$C$6:$C$125,"Summer"),0))</f>
        <v>0</v>
      </c>
      <c r="AI35" s="153">
        <f>IF(OR($A35="PTG",$A35="PTA"),SUMIFS('Back-end'!$H$6:$H$125,'Back-end'!$J$6:$J$125,AI$27,'Back-end'!$B$6:$B$125,"&gt;="&amp;$E35,'Back-end'!$J$6:$J$125,#REF!,'Back-end'!$B$6:$B$125,"&lt;="&amp;#REF!,'Back-end'!$B$6:$B$125,"&lt;="&amp;$F35,'Back-end'!$B$6:$B$125,"&gt;="&amp;#REF!),IF($A35="PTS",SUMIFS('Back-end'!$H$6:$H$125,'Back-end'!$J$6:$J$125,AI$27,'Back-end'!$B$6:$B$125,"&gt;="&amp;$E35,'Back-end'!$J$6:$J$125,#REF!,'Back-end'!$B$6:$B$125,"&lt;="&amp;#REF!,'Back-end'!$B$6:$B$125,"&lt;="&amp;$F35,'Back-end'!$B$6:$B$125,"&gt;="&amp;#REF!,'Back-end'!$C$6:$C$125,"Summer"),0))</f>
        <v>0</v>
      </c>
      <c r="AJ35" s="153">
        <f>IF(OR($A35="PTG",$A35="PTA"),SUMIFS('Back-end'!$H$6:$H$125,'Back-end'!$J$6:$J$125,AJ$27,'Back-end'!$B$6:$B$125,"&gt;="&amp;$E35,'Back-end'!$J$6:$J$125,#REF!,'Back-end'!$B$6:$B$125,"&lt;="&amp;#REF!,'Back-end'!$B$6:$B$125,"&lt;="&amp;$F35,'Back-end'!$B$6:$B$125,"&gt;="&amp;#REF!),IF($A35="PTS",SUMIFS('Back-end'!$H$6:$H$125,'Back-end'!$J$6:$J$125,AJ$27,'Back-end'!$B$6:$B$125,"&gt;="&amp;$E35,'Back-end'!$J$6:$J$125,#REF!,'Back-end'!$B$6:$B$125,"&lt;="&amp;#REF!,'Back-end'!$B$6:$B$125,"&lt;="&amp;$F35,'Back-end'!$B$6:$B$125,"&gt;="&amp;#REF!,'Back-end'!$C$6:$C$125,"Summer"),0))</f>
        <v>0</v>
      </c>
      <c r="AK35" s="153">
        <f>IF(OR($A35="PTG",$A35="PTA"),SUMIFS('Back-end'!$H$6:$H$125,'Back-end'!$J$6:$J$125,AK$27,'Back-end'!$B$6:$B$125,"&gt;="&amp;$E35,'Back-end'!$J$6:$J$125,#REF!,'Back-end'!$B$6:$B$125,"&lt;="&amp;#REF!,'Back-end'!$B$6:$B$125,"&lt;="&amp;$F35,'Back-end'!$B$6:$B$125,"&gt;="&amp;#REF!),IF($A35="PTS",SUMIFS('Back-end'!$H$6:$H$125,'Back-end'!$J$6:$J$125,AK$27,'Back-end'!$B$6:$B$125,"&gt;="&amp;$E35,'Back-end'!$J$6:$J$125,#REF!,'Back-end'!$B$6:$B$125,"&lt;="&amp;#REF!,'Back-end'!$B$6:$B$125,"&lt;="&amp;$F35,'Back-end'!$B$6:$B$125,"&gt;="&amp;#REF!,'Back-end'!$C$6:$C$125,"Summer"),0))</f>
        <v>0</v>
      </c>
      <c r="AL35" s="153">
        <f>IF(OR($A35="PTG",$A35="PTA"),SUMIFS('Back-end'!$H$6:$H$125,'Back-end'!$J$6:$J$125,AL$27,'Back-end'!$B$6:$B$125,"&gt;="&amp;$E35,'Back-end'!$J$6:$J$125,#REF!,'Back-end'!$B$6:$B$125,"&lt;="&amp;#REF!,'Back-end'!$B$6:$B$125,"&lt;="&amp;$F35,'Back-end'!$B$6:$B$125,"&gt;="&amp;#REF!),IF($A35="PTS",SUMIFS('Back-end'!$H$6:$H$125,'Back-end'!$J$6:$J$125,AL$27,'Back-end'!$B$6:$B$125,"&gt;="&amp;$E35,'Back-end'!$J$6:$J$125,#REF!,'Back-end'!$B$6:$B$125,"&lt;="&amp;#REF!,'Back-end'!$B$6:$B$125,"&lt;="&amp;$F35,'Back-end'!$B$6:$B$125,"&gt;="&amp;#REF!,'Back-end'!$C$6:$C$125,"Summer"),0))</f>
        <v>0</v>
      </c>
      <c r="AM35" s="153">
        <f>IF(OR($A35="PTG",$A35="PTA"),SUMIFS('Back-end'!$H$6:$H$125,'Back-end'!$J$6:$J$125,AM$27,'Back-end'!$B$6:$B$125,"&gt;="&amp;$E35,'Back-end'!$J$6:$J$125,#REF!,'Back-end'!$B$6:$B$125,"&lt;="&amp;#REF!,'Back-end'!$B$6:$B$125,"&lt;="&amp;$F35,'Back-end'!$B$6:$B$125,"&gt;="&amp;#REF!),IF($A35="PTS",SUMIFS('Back-end'!$H$6:$H$125,'Back-end'!$J$6:$J$125,AM$27,'Back-end'!$B$6:$B$125,"&gt;="&amp;$E35,'Back-end'!$J$6:$J$125,#REF!,'Back-end'!$B$6:$B$125,"&lt;="&amp;#REF!,'Back-end'!$B$6:$B$125,"&lt;="&amp;$F35,'Back-end'!$B$6:$B$125,"&gt;="&amp;#REF!,'Back-end'!$C$6:$C$125,"Summer"),0))</f>
        <v>0</v>
      </c>
      <c r="AN35" s="153">
        <f>IF(OR($A35="PTG",$A35="PTA"),SUMIFS('Back-end'!$H$6:$H$125,'Back-end'!$J$6:$J$125,AN$27,'Back-end'!$B$6:$B$125,"&gt;="&amp;$E35,'Back-end'!$J$6:$J$125,#REF!,'Back-end'!$B$6:$B$125,"&lt;="&amp;#REF!,'Back-end'!$B$6:$B$125,"&lt;="&amp;$F35,'Back-end'!$B$6:$B$125,"&gt;="&amp;#REF!),IF($A35="PTS",SUMIFS('Back-end'!$H$6:$H$125,'Back-end'!$J$6:$J$125,AN$27,'Back-end'!$B$6:$B$125,"&gt;="&amp;$E35,'Back-end'!$J$6:$J$125,#REF!,'Back-end'!$B$6:$B$125,"&lt;="&amp;#REF!,'Back-end'!$B$6:$B$125,"&lt;="&amp;$F35,'Back-end'!$B$6:$B$125,"&gt;="&amp;#REF!,'Back-end'!$C$6:$C$125,"Summer"),0))</f>
        <v>0</v>
      </c>
      <c r="AO35" s="153">
        <f>IF(OR($A35="PTG",$A35="PTA"),SUMIFS('Back-end'!$H$6:$H$125,'Back-end'!$J$6:$J$125,AO$27,'Back-end'!$B$6:$B$125,"&gt;="&amp;$E35,'Back-end'!$J$6:$J$125,#REF!,'Back-end'!$B$6:$B$125,"&lt;="&amp;#REF!,'Back-end'!$B$6:$B$125,"&lt;="&amp;$F35,'Back-end'!$B$6:$B$125,"&gt;="&amp;#REF!),IF($A35="PTS",SUMIFS('Back-end'!$H$6:$H$125,'Back-end'!$J$6:$J$125,AO$27,'Back-end'!$B$6:$B$125,"&gt;="&amp;$E35,'Back-end'!$J$6:$J$125,#REF!,'Back-end'!$B$6:$B$125,"&lt;="&amp;#REF!,'Back-end'!$B$6:$B$125,"&lt;="&amp;$F35,'Back-end'!$B$6:$B$125,"&gt;="&amp;#REF!,'Back-end'!$C$6:$C$125,"Summer"),0))</f>
        <v>0</v>
      </c>
      <c r="AP35" s="153">
        <f>IF(OR($A35="PTG",$A35="PTA"),SUMIFS('Back-end'!$H$6:$H$125,'Back-end'!$J$6:$J$125,AP$27,'Back-end'!$B$6:$B$125,"&gt;="&amp;$E35,'Back-end'!$J$6:$J$125,#REF!,'Back-end'!$B$6:$B$125,"&lt;="&amp;#REF!,'Back-end'!$B$6:$B$125,"&lt;="&amp;$F35,'Back-end'!$B$6:$B$125,"&gt;="&amp;#REF!),IF($A35="PTS",SUMIFS('Back-end'!$H$6:$H$125,'Back-end'!$J$6:$J$125,AP$27,'Back-end'!$B$6:$B$125,"&gt;="&amp;$E35,'Back-end'!$J$6:$J$125,#REF!,'Back-end'!$B$6:$B$125,"&lt;="&amp;#REF!,'Back-end'!$B$6:$B$125,"&lt;="&amp;$F35,'Back-end'!$B$6:$B$125,"&gt;="&amp;#REF!,'Back-end'!$C$6:$C$125,"Summer"),0))</f>
        <v>0</v>
      </c>
      <c r="AQ35" s="2">
        <f>IF(OR($A35="PTG",$A35="PTA"),SUMIFS('Back-end'!$I$6:$I$125,'Back-end'!$J$6:$J$125,W$27,'Back-end'!$B$6:$B$125,"&gt;="&amp;$E35,'Back-end'!$J$6:$J$125,I$16,'Back-end'!$B$6:$B$125,"&lt;="&amp;I$18,'Back-end'!$B$6:$B$125,"&lt;="&amp;$F35,'Back-end'!$B$6:$B$125,"&gt;="&amp;I$17),0)</f>
        <v>0</v>
      </c>
      <c r="AR35" s="2">
        <f>IF(OR($A35="PTG",$A35="PTA"),SUMIFS('Back-end'!$I$6:$I$125,'Back-end'!$J$6:$J$125,X$27,'Back-end'!$B$6:$B$125,"&gt;="&amp;$E35,'Back-end'!$J$6:$J$125,J$16,'Back-end'!$B$6:$B$125,"&lt;="&amp;J$18,'Back-end'!$B$6:$B$125,"&lt;="&amp;$F35,'Back-end'!$B$6:$B$125,"&gt;="&amp;J$17),0)</f>
        <v>0</v>
      </c>
      <c r="AS35" s="2">
        <f>IF(OR($A35="PTG",$A35="PTA"),SUMIFS('Back-end'!$I$6:$I$125,'Back-end'!$J$6:$J$125,Y$27,'Back-end'!$B$6:$B$125,"&gt;="&amp;$E35,'Back-end'!$J$6:$J$125,#REF!,'Back-end'!$B$6:$B$125,"&lt;="&amp;#REF!,'Back-end'!$B$6:$B$125,"&lt;="&amp;$F35,'Back-end'!$B$6:$B$125,"&gt;="&amp;#REF!),0)</f>
        <v>0</v>
      </c>
      <c r="AT35" s="2">
        <f>IF(OR($A35="PTG",$A35="PTA"),SUMIFS('Back-end'!$I$6:$I$125,'Back-end'!$J$6:$J$125,Z$27,'Back-end'!$B$6:$B$125,"&gt;="&amp;$E35,'Back-end'!$J$6:$J$125,#REF!,'Back-end'!$B$6:$B$125,"&lt;="&amp;#REF!,'Back-end'!$B$6:$B$125,"&lt;="&amp;$F35,'Back-end'!$B$6:$B$125,"&gt;="&amp;#REF!),0)</f>
        <v>0</v>
      </c>
      <c r="AU35" s="2">
        <f>IF(OR($A35="PTG",$A35="PTA"),SUMIFS('Back-end'!$I$6:$I$125,'Back-end'!$J$6:$J$125,AA$27,'Back-end'!$B$6:$B$125,"&gt;="&amp;$E35,'Back-end'!$J$6:$J$125,#REF!,'Back-end'!$B$6:$B$125,"&lt;="&amp;#REF!,'Back-end'!$B$6:$B$125,"&lt;="&amp;$F35,'Back-end'!$B$6:$B$125,"&gt;="&amp;#REF!),0)</f>
        <v>0</v>
      </c>
      <c r="AV35" s="2">
        <f>IF(OR($A35="PTG",$A35="PTA"),SUMIFS('Back-end'!$I$6:$I$125,'Back-end'!$J$6:$J$125,AB$27,'Back-end'!$B$6:$B$125,"&gt;="&amp;$E35,'Back-end'!$J$6:$J$125,#REF!,'Back-end'!$B$6:$B$125,"&lt;="&amp;#REF!,'Back-end'!$B$6:$B$125,"&lt;="&amp;$F35,'Back-end'!$B$6:$B$125,"&gt;="&amp;#REF!),0)</f>
        <v>0</v>
      </c>
      <c r="AW35" s="2">
        <f>IF(OR($A35="PTG",$A35="PTA"),SUMIFS('Back-end'!$I$6:$I$125,'Back-end'!$J$6:$J$125,AC$27,'Back-end'!$B$6:$B$125,"&gt;="&amp;$E35,'Back-end'!$J$6:$J$125,#REF!,'Back-end'!$B$6:$B$125,"&lt;="&amp;#REF!,'Back-end'!$B$6:$B$125,"&lt;="&amp;$F35,'Back-end'!$B$6:$B$125,"&gt;="&amp;#REF!),0)</f>
        <v>0</v>
      </c>
      <c r="AX35" s="2">
        <f>IF(OR($A35="PTG",$A35="PTA"),SUMIFS('Back-end'!$I$6:$I$125,'Back-end'!$J$6:$J$125,AD$27,'Back-end'!$B$6:$B$125,"&gt;="&amp;$E35,'Back-end'!$J$6:$J$125,#REF!,'Back-end'!$B$6:$B$125,"&lt;="&amp;#REF!,'Back-end'!$B$6:$B$125,"&lt;="&amp;$F35,'Back-end'!$B$6:$B$125,"&gt;="&amp;#REF!),0)</f>
        <v>0</v>
      </c>
      <c r="AY35" s="2">
        <f>IF(OR($A35="PTG",$A35="PTA"),SUMIFS('Back-end'!$I$6:$I$125,'Back-end'!$J$6:$J$125,AE$27,'Back-end'!$B$6:$B$125,"&gt;="&amp;$E35,'Back-end'!$J$6:$J$125,#REF!,'Back-end'!$B$6:$B$125,"&lt;="&amp;#REF!,'Back-end'!$B$6:$B$125,"&lt;="&amp;$F35,'Back-end'!$B$6:$B$125,"&gt;="&amp;#REF!),0)</f>
        <v>0</v>
      </c>
      <c r="AZ35" s="2">
        <f>IF(OR($A35="PTG",$A35="PTA"),SUMIFS('Back-end'!$I$6:$I$125,'Back-end'!$J$6:$J$125,AF$27,'Back-end'!$B$6:$B$125,"&gt;="&amp;$E35,'Back-end'!$J$6:$J$125,#REF!,'Back-end'!$B$6:$B$125,"&lt;="&amp;#REF!,'Back-end'!$B$6:$B$125,"&lt;="&amp;$F35,'Back-end'!$B$6:$B$125,"&gt;="&amp;#REF!),0)</f>
        <v>0</v>
      </c>
      <c r="BU35" s="268"/>
      <c r="BV35" s="268"/>
      <c r="BW35" s="267"/>
    </row>
    <row r="36" spans="1:75" hidden="1" outlineLevel="1" x14ac:dyDescent="0.25">
      <c r="A36" t="str">
        <f>VLOOKUP(C36,'Back-end'!$S$43:$T$55, 2, FALSE)</f>
        <v>PTU</v>
      </c>
      <c r="B36">
        <f>VLOOKUP(C36,'Back-end'!$S$43:$U$55, 3, FALSE)</f>
        <v>3</v>
      </c>
      <c r="C36" s="211" t="s">
        <v>17</v>
      </c>
      <c r="D36" s="214"/>
      <c r="E36" s="148"/>
      <c r="F36" s="4"/>
      <c r="G36" s="82"/>
      <c r="H36" s="147"/>
      <c r="I36" s="241">
        <v>0</v>
      </c>
      <c r="J36" s="241">
        <v>0</v>
      </c>
      <c r="K36" s="241"/>
      <c r="L36" s="242">
        <f t="shared" si="0"/>
        <v>0</v>
      </c>
      <c r="M36" s="153" t="e">
        <f>IF(N(I$17)&gt;0,IF(OR($A36="PTS",$A36="PTG",$A36="PTU"),IF(MONTH(I$17)&lt;7,($G36*$H36/$B36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36,'Back-end'!$B$6:$B$125,"&lt;="&amp;I$18,'Back-end'!$B$6:$B$125,"&lt;="&amp;$F36,'Back-end'!$B$6:$B$125,"&gt;="&amp;I$17))+
($G36*$H36/$B36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36,'Back-end'!$B$6:$B$125,"&lt;="&amp;I$18,'Back-end'!$B$6:$B$125,"&lt;="&amp;$F36,'Back-end'!$B$6:$B$125,"&gt;="&amp;I$17)),
IF(MONTH(I$18)=7,
(($G36*$H36/$B36*INDEX('Back-end'!$T$23:$X$29,MATCH("PTS",'Back-end'!$S$23:$S$29,0),MATCH(INDEX('Back-end'!$B$6:$E$125,MATCH(DATE(YEAR(I$18),MONTH(I$18),DAY(1)),'Back-end'!$B$6:$B$125,0),4),'Back-end'!$T$22:$X$22,0))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36,'Back-end'!$B$6:$B$125,"&lt;="&amp;I$18,'Back-end'!$B$6:$B$125,"&lt;="&amp;$F36,'Back-end'!$B$6:$B$125,"&gt;="&amp;I$17))+
($G36*$H36/$B36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36,'Back-end'!$B$6:$B$125,"&lt;="&amp;I$18,'Back-end'!$B$6:$B$125,"&lt;="&amp;$F36,'Back-end'!$B$6:$B$125,"&gt;="&amp;I$17))),
(($G36*$H36/$B36*INDEX('Back-end'!$T$23:$X$29,MATCH("PTS",'Back-end'!$S$23:$S$29,0),MATCH(INDEX('Back-end'!$B$6:$E$125,MATCH(DATE(YEAR(I$17),MONTH(I$17),DAY(1)),'Back-end'!$B$6:$B$125,0),4),'Back-end'!$T$22:$X$22,0))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36,'Back-end'!$B$6:$B$125,"&lt;="&amp;I$18,'Back-end'!$B$6:$B$125,"&lt;="&amp;$F36,'Back-end'!$B$6:$B$125,"&gt;="&amp;I$17))+
($G36*$H36/$B36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36,'Back-end'!$B$6:$B$125,"&lt;="&amp;I$18,'Back-end'!$B$6:$B$125,"&lt;="&amp;$F36,'Back-end'!$B$6:$B$125,"&gt;="&amp;I$17)))))),0)</f>
        <v>#N/A</v>
      </c>
      <c r="N36" s="153" t="e">
        <f>IF(N(J$17)&gt;0,IF(OR($A36="PTS",$A36="PTG",$A36="PTU"),IF(MONTH(J$17)&lt;7,($G36*$H36/$B36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36,'Back-end'!$B$6:$B$125,"&lt;="&amp;J$18,'Back-end'!$B$6:$B$125,"&lt;="&amp;$F36,'Back-end'!$B$6:$B$125,"&gt;="&amp;J$17))+
($G36*$H36/$B36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36,'Back-end'!$B$6:$B$125,"&lt;="&amp;J$18,'Back-end'!$B$6:$B$125,"&lt;="&amp;$F36,'Back-end'!$B$6:$B$125,"&gt;="&amp;J$17)),
IF(MONTH(J$18)=7,
(($G36*$H36/$B36*INDEX('Back-end'!$T$23:$X$29,MATCH("PTS",'Back-end'!$S$23:$S$29,0),MATCH(INDEX('Back-end'!$B$6:$E$125,MATCH(DATE(YEAR(J$18),MONTH(J$18),DAY(1)),'Back-end'!$B$6:$B$125,0),4),'Back-end'!$T$22:$X$22,0))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36,'Back-end'!$B$6:$B$125,"&lt;="&amp;J$18,'Back-end'!$B$6:$B$125,"&lt;="&amp;$F36,'Back-end'!$B$6:$B$125,"&gt;="&amp;J$17))+
($G36*$H36/$B36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36,'Back-end'!$B$6:$B$125,"&lt;="&amp;J$18,'Back-end'!$B$6:$B$125,"&lt;="&amp;$F36,'Back-end'!$B$6:$B$125,"&gt;="&amp;J$17))),
(($G36*$H36/$B36*INDEX('Back-end'!$T$23:$X$29,MATCH("PTS",'Back-end'!$S$23:$S$29,0),MATCH(INDEX('Back-end'!$B$6:$E$125,MATCH(DATE(YEAR(J$17),MONTH(J$17),DAY(1)),'Back-end'!$B$6:$B$125,0),4),'Back-end'!$T$22:$X$22,0))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36,'Back-end'!$B$6:$B$125,"&lt;="&amp;J$18,'Back-end'!$B$6:$B$125,"&lt;="&amp;$F36,'Back-end'!$B$6:$B$125,"&gt;="&amp;J$17))+
($G36*$H36/$B36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36,'Back-end'!$B$6:$B$125,"&lt;="&amp;J$18,'Back-end'!$B$6:$B$125,"&lt;="&amp;$F36,'Back-end'!$B$6:$B$125,"&gt;="&amp;J$17)))))),0)</f>
        <v>#N/A</v>
      </c>
      <c r="O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P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Q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R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S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T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U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V36" s="153" t="e">
        <f>IF(N(#REF!)&gt;0,IF(OR($A36="PTS",$A36="PTG",$A36="PTU"),IF(MONTH(#REF!)&lt;7,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,
IF(MONTH(#REF!)=7,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,MONTH(#REF!),DAY(1)),'Back-end'!$B$6:$B$125,0),4),'Back-end'!$T$22:$X$22,0))),0,INDEX('Back-end'!$T$23:$X$29,MATCH("PTS",'Back-end'!$S$23:$S$29,0),MATCH(INDEX('Back-end'!$B$6:$E$125,MATCH(DATE(YEAR(#REF!),MONTH(#REF!),DAY(1)),'Back-end'!$B$6:$B$125,0),4),'Back-end'!$T$22:$X$22,0)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),
(($G36*$H36/$B36*INDEX('Back-end'!$T$23:$X$29,MATCH("PTS",'Back-end'!$S$23:$S$29,0),MATCH(INDEX('Back-end'!$B$6:$E$125,MATCH(DATE(YEAR(#REF!),MONTH(#REF!),DAY(1)),'Back-end'!$B$6:$B$125,0),4),'Back-end'!$T$22:$X$22,0))
*COUNTIFS('Back-end'!$C$6:$C$125,"Summer",'Back-end'!$D$6:$D$125,INDEX('Back-end'!$B$6:$E$125,MATCH(DATE(YEAR(#REF!),MONTH(#REF!),DAY(1)),'Back-end'!$B$6:$B$125,0),4),'Back-end'!$J$6:$J$125,#REF!,'Back-end'!$B$6:$B$125,"&gt;="&amp;$E36,'Back-end'!$B$6:$B$125,"&lt;="&amp;#REF!,'Back-end'!$B$6:$B$125,"&lt;="&amp;$F36,'Back-end'!$B$6:$B$125,"&gt;="&amp;#REF!))+
($G36*$H36/$B36*IF(ISERROR(INDEX('Back-end'!$T$23:$X$29,MATCH("PTS",'Back-end'!$S$23:$S$29,0),MATCH(INDEX('Back-end'!$B$6:$E$125,MATCH(DATE(YEAR(#REF!)+1,MONTH(#REF!),DAY(1)),'Back-end'!$B$6:$B$125,0),4),'Back-end'!$T$22:$X$22,0))),0,INDEX('Back-end'!$T$23:$X$29,MATCH("PTS",'Back-end'!$S$23:$S$29,0),MATCH(INDEX('Back-end'!$B$6:$E$125,MATCH(DATE(YEAR(#REF!)+1,MONTH(#REF!),DAY(1)),'Back-end'!$B$6:$B$125,0),4),'Back-end'!$T$22:$X$22,0)))
*COUNTIFS('Back-end'!$C$6:$C$125,"Summer",'Back-end'!$D$6:$D$125,INDEX('Back-end'!$B$6:$E$125,MATCH(DATE(YEAR(#REF!)+1,MONTH(#REF!),DAY(1)),'Back-end'!$B$6:$B$125,0),4),'Back-end'!$J$6:$J$125,#REF!,'Back-end'!$B$6:$B$125,"&gt;="&amp;$E36,'Back-end'!$B$6:$B$125,"&lt;="&amp;#REF!,'Back-end'!$B$6:$B$125,"&lt;="&amp;$F36,'Back-end'!$B$6:$B$125,"&gt;="&amp;#REF!)))))),0)</f>
        <v>#REF!</v>
      </c>
      <c r="W36" s="2">
        <f>IF(OR($A36="PTG",$A36="PTA"),SUMIFS('Back-end'!$G$6:$G$125,'Back-end'!$J$6:$J$125,W$27,'Back-end'!$B$6:$B$125,"&gt;="&amp;$E36,'Back-end'!$J$6:$J$125,I$16,'Back-end'!$B$6:$B$125,"&lt;="&amp;I$18,'Back-end'!$B$6:$B$125,"&lt;="&amp;$F36,'Back-end'!$B$6:$B$125,"&gt;="&amp;I$17),0)</f>
        <v>0</v>
      </c>
      <c r="X36" s="2">
        <f>IF(OR($A36="PTG",$A36="PTA"),SUMIFS('Back-end'!$G$6:$G$125,'Back-end'!$J$6:$J$125,X$27,'Back-end'!$B$6:$B$125,"&gt;="&amp;$E36,'Back-end'!$J$6:$J$125,J$16,'Back-end'!$B$6:$B$125,"&lt;="&amp;J$18,'Back-end'!$B$6:$B$125,"&lt;="&amp;$F36,'Back-end'!$B$6:$B$125,"&gt;="&amp;J$17),0)</f>
        <v>0</v>
      </c>
      <c r="Y36" s="2">
        <f>IF(OR($A36="PTG",$A36="PTA"),SUMIFS('Back-end'!$G$6:$G$125,'Back-end'!$J$6:$J$125,Y$27,'Back-end'!$B$6:$B$125,"&gt;="&amp;$E36,'Back-end'!$J$6:$J$125,#REF!,'Back-end'!$B$6:$B$125,"&lt;="&amp;#REF!,'Back-end'!$B$6:$B$125,"&lt;="&amp;$F36,'Back-end'!$B$6:$B$125,"&gt;="&amp;#REF!),0)</f>
        <v>0</v>
      </c>
      <c r="Z36" s="2">
        <f>IF(OR($A36="PTG",$A36="PTA"),SUMIFS('Back-end'!$G$6:$G$125,'Back-end'!$J$6:$J$125,Z$27,'Back-end'!$B$6:$B$125,"&gt;="&amp;$E36,'Back-end'!$J$6:$J$125,#REF!,'Back-end'!$B$6:$B$125,"&lt;="&amp;#REF!,'Back-end'!$B$6:$B$125,"&lt;="&amp;$F36,'Back-end'!$B$6:$B$125,"&gt;="&amp;#REF!),0)</f>
        <v>0</v>
      </c>
      <c r="AA36" s="2">
        <f>IF(OR($A36="PTG",$A36="PTA"),SUMIFS('Back-end'!$G$6:$G$125,'Back-end'!$J$6:$J$125,AA$27,'Back-end'!$B$6:$B$125,"&gt;="&amp;$E36,'Back-end'!$J$6:$J$125,#REF!,'Back-end'!$B$6:$B$125,"&lt;="&amp;#REF!,'Back-end'!$B$6:$B$125,"&lt;="&amp;$F36,'Back-end'!$B$6:$B$125,"&gt;="&amp;#REF!),0)</f>
        <v>0</v>
      </c>
      <c r="AB36" s="2">
        <f>IF(OR($A36="PTG",$A36="PTA"),SUMIFS('Back-end'!$G$6:$G$125,'Back-end'!$J$6:$J$125,AB$27,'Back-end'!$B$6:$B$125,"&gt;="&amp;$E36,'Back-end'!$J$6:$J$125,#REF!,'Back-end'!$B$6:$B$125,"&lt;="&amp;#REF!,'Back-end'!$B$6:$B$125,"&lt;="&amp;$F36,'Back-end'!$B$6:$B$125,"&gt;="&amp;#REF!),0)</f>
        <v>0</v>
      </c>
      <c r="AC36" s="2">
        <f>IF(OR($A36="PTG",$A36="PTA"),SUMIFS('Back-end'!$G$6:$G$125,'Back-end'!$J$6:$J$125,AC$27,'Back-end'!$B$6:$B$125,"&gt;="&amp;$E36,'Back-end'!$J$6:$J$125,#REF!,'Back-end'!$B$6:$B$125,"&lt;="&amp;#REF!,'Back-end'!$B$6:$B$125,"&lt;="&amp;$F36,'Back-end'!$B$6:$B$125,"&gt;="&amp;#REF!),0)</f>
        <v>0</v>
      </c>
      <c r="AD36" s="2">
        <f>IF(OR($A36="PTG",$A36="PTA"),SUMIFS('Back-end'!$G$6:$G$125,'Back-end'!$J$6:$J$125,AD$27,'Back-end'!$B$6:$B$125,"&gt;="&amp;$E36,'Back-end'!$J$6:$J$125,#REF!,'Back-end'!$B$6:$B$125,"&lt;="&amp;#REF!,'Back-end'!$B$6:$B$125,"&lt;="&amp;$F36,'Back-end'!$B$6:$B$125,"&gt;="&amp;#REF!),0)</f>
        <v>0</v>
      </c>
      <c r="AE36" s="2">
        <f>IF(OR($A36="PTG",$A36="PTA"),SUMIFS('Back-end'!$G$6:$G$125,'Back-end'!$J$6:$J$125,AE$27,'Back-end'!$B$6:$B$125,"&gt;="&amp;$E36,'Back-end'!$J$6:$J$125,#REF!,'Back-end'!$B$6:$B$125,"&lt;="&amp;#REF!,'Back-end'!$B$6:$B$125,"&lt;="&amp;$F36,'Back-end'!$B$6:$B$125,"&gt;="&amp;#REF!),0)</f>
        <v>0</v>
      </c>
      <c r="AF36" s="2">
        <f>IF(OR($A36="PTG",$A36="PTA"),SUMIFS('Back-end'!$G$6:$G$125,'Back-end'!$J$6:$J$125,AF$27,'Back-end'!$B$6:$B$125,"&gt;="&amp;$E36,'Back-end'!$J$6:$J$125,#REF!,'Back-end'!$B$6:$B$125,"&lt;="&amp;#REF!,'Back-end'!$B$6:$B$125,"&lt;="&amp;$F36,'Back-end'!$B$6:$B$125,"&gt;="&amp;#REF!),0)</f>
        <v>0</v>
      </c>
      <c r="AG36" s="153">
        <f>IF(OR($A36="PTG",$A36="PTA"),SUMIFS('Back-end'!$H$6:$H$125,'Back-end'!$J$6:$J$125,AG$27,'Back-end'!$B$6:$B$125,"&gt;="&amp;$E36,'Back-end'!$J$6:$J$125,I$16,'Back-end'!$B$6:$B$125,"&lt;="&amp;I$18,'Back-end'!$B$6:$B$125,"&lt;="&amp;$F36,'Back-end'!$B$6:$B$125,"&gt;="&amp;I$17),IF($A36="PTS",SUMIFS('Back-end'!$H$6:$H$125,'Back-end'!$J$6:$J$125,AG$27,'Back-end'!$B$6:$B$125,"&gt;="&amp;$E36,'Back-end'!$J$6:$J$125,I$16,'Back-end'!$B$6:$B$125,"&lt;="&amp;I$18,'Back-end'!$B$6:$B$125,"&lt;="&amp;$F36,'Back-end'!$B$6:$B$125,"&gt;="&amp;I$17,'Back-end'!$C$6:$C$125,"Summer"),0))</f>
        <v>0</v>
      </c>
      <c r="AH36" s="153">
        <f>IF(OR($A36="PTG",$A36="PTA"),SUMIFS('Back-end'!$H$6:$H$125,'Back-end'!$J$6:$J$125,AH$27,'Back-end'!$B$6:$B$125,"&gt;="&amp;$E36,'Back-end'!$J$6:$J$125,J$16,'Back-end'!$B$6:$B$125,"&lt;="&amp;J$18,'Back-end'!$B$6:$B$125,"&lt;="&amp;$F36,'Back-end'!$B$6:$B$125,"&gt;="&amp;J$17),IF($A36="PTS",SUMIFS('Back-end'!$H$6:$H$125,'Back-end'!$J$6:$J$125,AH$27,'Back-end'!$B$6:$B$125,"&gt;="&amp;$E36,'Back-end'!$J$6:$J$125,J$16,'Back-end'!$B$6:$B$125,"&lt;="&amp;J$18,'Back-end'!$B$6:$B$125,"&lt;="&amp;$F36,'Back-end'!$B$6:$B$125,"&gt;="&amp;J$17,'Back-end'!$C$6:$C$125,"Summer"),0))</f>
        <v>0</v>
      </c>
      <c r="AI36" s="153">
        <f>IF(OR($A36="PTG",$A36="PTA"),SUMIFS('Back-end'!$H$6:$H$125,'Back-end'!$J$6:$J$125,AI$27,'Back-end'!$B$6:$B$125,"&gt;="&amp;$E36,'Back-end'!$J$6:$J$125,#REF!,'Back-end'!$B$6:$B$125,"&lt;="&amp;#REF!,'Back-end'!$B$6:$B$125,"&lt;="&amp;$F36,'Back-end'!$B$6:$B$125,"&gt;="&amp;#REF!),IF($A36="PTS",SUMIFS('Back-end'!$H$6:$H$125,'Back-end'!$J$6:$J$125,AI$27,'Back-end'!$B$6:$B$125,"&gt;="&amp;$E36,'Back-end'!$J$6:$J$125,#REF!,'Back-end'!$B$6:$B$125,"&lt;="&amp;#REF!,'Back-end'!$B$6:$B$125,"&lt;="&amp;$F36,'Back-end'!$B$6:$B$125,"&gt;="&amp;#REF!,'Back-end'!$C$6:$C$125,"Summer"),0))</f>
        <v>0</v>
      </c>
      <c r="AJ36" s="153">
        <f>IF(OR($A36="PTG",$A36="PTA"),SUMIFS('Back-end'!$H$6:$H$125,'Back-end'!$J$6:$J$125,AJ$27,'Back-end'!$B$6:$B$125,"&gt;="&amp;$E36,'Back-end'!$J$6:$J$125,#REF!,'Back-end'!$B$6:$B$125,"&lt;="&amp;#REF!,'Back-end'!$B$6:$B$125,"&lt;="&amp;$F36,'Back-end'!$B$6:$B$125,"&gt;="&amp;#REF!),IF($A36="PTS",SUMIFS('Back-end'!$H$6:$H$125,'Back-end'!$J$6:$J$125,AJ$27,'Back-end'!$B$6:$B$125,"&gt;="&amp;$E36,'Back-end'!$J$6:$J$125,#REF!,'Back-end'!$B$6:$B$125,"&lt;="&amp;#REF!,'Back-end'!$B$6:$B$125,"&lt;="&amp;$F36,'Back-end'!$B$6:$B$125,"&gt;="&amp;#REF!,'Back-end'!$C$6:$C$125,"Summer"),0))</f>
        <v>0</v>
      </c>
      <c r="AK36" s="153">
        <f>IF(OR($A36="PTG",$A36="PTA"),SUMIFS('Back-end'!$H$6:$H$125,'Back-end'!$J$6:$J$125,AK$27,'Back-end'!$B$6:$B$125,"&gt;="&amp;$E36,'Back-end'!$J$6:$J$125,#REF!,'Back-end'!$B$6:$B$125,"&lt;="&amp;#REF!,'Back-end'!$B$6:$B$125,"&lt;="&amp;$F36,'Back-end'!$B$6:$B$125,"&gt;="&amp;#REF!),IF($A36="PTS",SUMIFS('Back-end'!$H$6:$H$125,'Back-end'!$J$6:$J$125,AK$27,'Back-end'!$B$6:$B$125,"&gt;="&amp;$E36,'Back-end'!$J$6:$J$125,#REF!,'Back-end'!$B$6:$B$125,"&lt;="&amp;#REF!,'Back-end'!$B$6:$B$125,"&lt;="&amp;$F36,'Back-end'!$B$6:$B$125,"&gt;="&amp;#REF!,'Back-end'!$C$6:$C$125,"Summer"),0))</f>
        <v>0</v>
      </c>
      <c r="AL36" s="153">
        <f>IF(OR($A36="PTG",$A36="PTA"),SUMIFS('Back-end'!$H$6:$H$125,'Back-end'!$J$6:$J$125,AL$27,'Back-end'!$B$6:$B$125,"&gt;="&amp;$E36,'Back-end'!$J$6:$J$125,#REF!,'Back-end'!$B$6:$B$125,"&lt;="&amp;#REF!,'Back-end'!$B$6:$B$125,"&lt;="&amp;$F36,'Back-end'!$B$6:$B$125,"&gt;="&amp;#REF!),IF($A36="PTS",SUMIFS('Back-end'!$H$6:$H$125,'Back-end'!$J$6:$J$125,AL$27,'Back-end'!$B$6:$B$125,"&gt;="&amp;$E36,'Back-end'!$J$6:$J$125,#REF!,'Back-end'!$B$6:$B$125,"&lt;="&amp;#REF!,'Back-end'!$B$6:$B$125,"&lt;="&amp;$F36,'Back-end'!$B$6:$B$125,"&gt;="&amp;#REF!,'Back-end'!$C$6:$C$125,"Summer"),0))</f>
        <v>0</v>
      </c>
      <c r="AM36" s="153">
        <f>IF(OR($A36="PTG",$A36="PTA"),SUMIFS('Back-end'!$H$6:$H$125,'Back-end'!$J$6:$J$125,AM$27,'Back-end'!$B$6:$B$125,"&gt;="&amp;$E36,'Back-end'!$J$6:$J$125,#REF!,'Back-end'!$B$6:$B$125,"&lt;="&amp;#REF!,'Back-end'!$B$6:$B$125,"&lt;="&amp;$F36,'Back-end'!$B$6:$B$125,"&gt;="&amp;#REF!),IF($A36="PTS",SUMIFS('Back-end'!$H$6:$H$125,'Back-end'!$J$6:$J$125,AM$27,'Back-end'!$B$6:$B$125,"&gt;="&amp;$E36,'Back-end'!$J$6:$J$125,#REF!,'Back-end'!$B$6:$B$125,"&lt;="&amp;#REF!,'Back-end'!$B$6:$B$125,"&lt;="&amp;$F36,'Back-end'!$B$6:$B$125,"&gt;="&amp;#REF!,'Back-end'!$C$6:$C$125,"Summer"),0))</f>
        <v>0</v>
      </c>
      <c r="AN36" s="153">
        <f>IF(OR($A36="PTG",$A36="PTA"),SUMIFS('Back-end'!$H$6:$H$125,'Back-end'!$J$6:$J$125,AN$27,'Back-end'!$B$6:$B$125,"&gt;="&amp;$E36,'Back-end'!$J$6:$J$125,#REF!,'Back-end'!$B$6:$B$125,"&lt;="&amp;#REF!,'Back-end'!$B$6:$B$125,"&lt;="&amp;$F36,'Back-end'!$B$6:$B$125,"&gt;="&amp;#REF!),IF($A36="PTS",SUMIFS('Back-end'!$H$6:$H$125,'Back-end'!$J$6:$J$125,AN$27,'Back-end'!$B$6:$B$125,"&gt;="&amp;$E36,'Back-end'!$J$6:$J$125,#REF!,'Back-end'!$B$6:$B$125,"&lt;="&amp;#REF!,'Back-end'!$B$6:$B$125,"&lt;="&amp;$F36,'Back-end'!$B$6:$B$125,"&gt;="&amp;#REF!,'Back-end'!$C$6:$C$125,"Summer"),0))</f>
        <v>0</v>
      </c>
      <c r="AO36" s="153">
        <f>IF(OR($A36="PTG",$A36="PTA"),SUMIFS('Back-end'!$H$6:$H$125,'Back-end'!$J$6:$J$125,AO$27,'Back-end'!$B$6:$B$125,"&gt;="&amp;$E36,'Back-end'!$J$6:$J$125,#REF!,'Back-end'!$B$6:$B$125,"&lt;="&amp;#REF!,'Back-end'!$B$6:$B$125,"&lt;="&amp;$F36,'Back-end'!$B$6:$B$125,"&gt;="&amp;#REF!),IF($A36="PTS",SUMIFS('Back-end'!$H$6:$H$125,'Back-end'!$J$6:$J$125,AO$27,'Back-end'!$B$6:$B$125,"&gt;="&amp;$E36,'Back-end'!$J$6:$J$125,#REF!,'Back-end'!$B$6:$B$125,"&lt;="&amp;#REF!,'Back-end'!$B$6:$B$125,"&lt;="&amp;$F36,'Back-end'!$B$6:$B$125,"&gt;="&amp;#REF!,'Back-end'!$C$6:$C$125,"Summer"),0))</f>
        <v>0</v>
      </c>
      <c r="AP36" s="153">
        <f>IF(OR($A36="PTG",$A36="PTA"),SUMIFS('Back-end'!$H$6:$H$125,'Back-end'!$J$6:$J$125,AP$27,'Back-end'!$B$6:$B$125,"&gt;="&amp;$E36,'Back-end'!$J$6:$J$125,#REF!,'Back-end'!$B$6:$B$125,"&lt;="&amp;#REF!,'Back-end'!$B$6:$B$125,"&lt;="&amp;$F36,'Back-end'!$B$6:$B$125,"&gt;="&amp;#REF!),IF($A36="PTS",SUMIFS('Back-end'!$H$6:$H$125,'Back-end'!$J$6:$J$125,AP$27,'Back-end'!$B$6:$B$125,"&gt;="&amp;$E36,'Back-end'!$J$6:$J$125,#REF!,'Back-end'!$B$6:$B$125,"&lt;="&amp;#REF!,'Back-end'!$B$6:$B$125,"&lt;="&amp;$F36,'Back-end'!$B$6:$B$125,"&gt;="&amp;#REF!,'Back-end'!$C$6:$C$125,"Summer"),0))</f>
        <v>0</v>
      </c>
      <c r="AQ36" s="2">
        <f>IF(OR($A36="PTG",$A36="PTA"),SUMIFS('Back-end'!$I$6:$I$125,'Back-end'!$J$6:$J$125,W$27,'Back-end'!$B$6:$B$125,"&gt;="&amp;$E36,'Back-end'!$J$6:$J$125,I$16,'Back-end'!$B$6:$B$125,"&lt;="&amp;I$18,'Back-end'!$B$6:$B$125,"&lt;="&amp;$F36,'Back-end'!$B$6:$B$125,"&gt;="&amp;I$17),0)</f>
        <v>0</v>
      </c>
      <c r="AR36" s="2">
        <f>IF(OR($A36="PTG",$A36="PTA"),SUMIFS('Back-end'!$I$6:$I$125,'Back-end'!$J$6:$J$125,X$27,'Back-end'!$B$6:$B$125,"&gt;="&amp;$E36,'Back-end'!$J$6:$J$125,J$16,'Back-end'!$B$6:$B$125,"&lt;="&amp;J$18,'Back-end'!$B$6:$B$125,"&lt;="&amp;$F36,'Back-end'!$B$6:$B$125,"&gt;="&amp;J$17),0)</f>
        <v>0</v>
      </c>
      <c r="AS36" s="2">
        <f>IF(OR($A36="PTG",$A36="PTA"),SUMIFS('Back-end'!$I$6:$I$125,'Back-end'!$J$6:$J$125,Y$27,'Back-end'!$B$6:$B$125,"&gt;="&amp;$E36,'Back-end'!$J$6:$J$125,#REF!,'Back-end'!$B$6:$B$125,"&lt;="&amp;#REF!,'Back-end'!$B$6:$B$125,"&lt;="&amp;$F36,'Back-end'!$B$6:$B$125,"&gt;="&amp;#REF!),0)</f>
        <v>0</v>
      </c>
      <c r="AT36" s="2">
        <f>IF(OR($A36="PTG",$A36="PTA"),SUMIFS('Back-end'!$I$6:$I$125,'Back-end'!$J$6:$J$125,Z$27,'Back-end'!$B$6:$B$125,"&gt;="&amp;$E36,'Back-end'!$J$6:$J$125,#REF!,'Back-end'!$B$6:$B$125,"&lt;="&amp;#REF!,'Back-end'!$B$6:$B$125,"&lt;="&amp;$F36,'Back-end'!$B$6:$B$125,"&gt;="&amp;#REF!),0)</f>
        <v>0</v>
      </c>
      <c r="AU36" s="2">
        <f>IF(OR($A36="PTG",$A36="PTA"),SUMIFS('Back-end'!$I$6:$I$125,'Back-end'!$J$6:$J$125,AA$27,'Back-end'!$B$6:$B$125,"&gt;="&amp;$E36,'Back-end'!$J$6:$J$125,#REF!,'Back-end'!$B$6:$B$125,"&lt;="&amp;#REF!,'Back-end'!$B$6:$B$125,"&lt;="&amp;$F36,'Back-end'!$B$6:$B$125,"&gt;="&amp;#REF!),0)</f>
        <v>0</v>
      </c>
      <c r="AV36" s="2">
        <f>IF(OR($A36="PTG",$A36="PTA"),SUMIFS('Back-end'!$I$6:$I$125,'Back-end'!$J$6:$J$125,AB$27,'Back-end'!$B$6:$B$125,"&gt;="&amp;$E36,'Back-end'!$J$6:$J$125,#REF!,'Back-end'!$B$6:$B$125,"&lt;="&amp;#REF!,'Back-end'!$B$6:$B$125,"&lt;="&amp;$F36,'Back-end'!$B$6:$B$125,"&gt;="&amp;#REF!),0)</f>
        <v>0</v>
      </c>
      <c r="AW36" s="2">
        <f>IF(OR($A36="PTG",$A36="PTA"),SUMIFS('Back-end'!$I$6:$I$125,'Back-end'!$J$6:$J$125,AC$27,'Back-end'!$B$6:$B$125,"&gt;="&amp;$E36,'Back-end'!$J$6:$J$125,#REF!,'Back-end'!$B$6:$B$125,"&lt;="&amp;#REF!,'Back-end'!$B$6:$B$125,"&lt;="&amp;$F36,'Back-end'!$B$6:$B$125,"&gt;="&amp;#REF!),0)</f>
        <v>0</v>
      </c>
      <c r="AX36" s="2">
        <f>IF(OR($A36="PTG",$A36="PTA"),SUMIFS('Back-end'!$I$6:$I$125,'Back-end'!$J$6:$J$125,AD$27,'Back-end'!$B$6:$B$125,"&gt;="&amp;$E36,'Back-end'!$J$6:$J$125,#REF!,'Back-end'!$B$6:$B$125,"&lt;="&amp;#REF!,'Back-end'!$B$6:$B$125,"&lt;="&amp;$F36,'Back-end'!$B$6:$B$125,"&gt;="&amp;#REF!),0)</f>
        <v>0</v>
      </c>
      <c r="AY36" s="2">
        <f>IF(OR($A36="PTG",$A36="PTA"),SUMIFS('Back-end'!$I$6:$I$125,'Back-end'!$J$6:$J$125,AE$27,'Back-end'!$B$6:$B$125,"&gt;="&amp;$E36,'Back-end'!$J$6:$J$125,#REF!,'Back-end'!$B$6:$B$125,"&lt;="&amp;#REF!,'Back-end'!$B$6:$B$125,"&lt;="&amp;$F36,'Back-end'!$B$6:$B$125,"&gt;="&amp;#REF!),0)</f>
        <v>0</v>
      </c>
      <c r="AZ36" s="2">
        <f>IF(OR($A36="PTG",$A36="PTA"),SUMIFS('Back-end'!$I$6:$I$125,'Back-end'!$J$6:$J$125,AF$27,'Back-end'!$B$6:$B$125,"&gt;="&amp;$E36,'Back-end'!$J$6:$J$125,#REF!,'Back-end'!$B$6:$B$125,"&lt;="&amp;#REF!,'Back-end'!$B$6:$B$125,"&lt;="&amp;$F36,'Back-end'!$B$6:$B$125,"&gt;="&amp;#REF!),0)</f>
        <v>0</v>
      </c>
      <c r="BU36" s="268"/>
      <c r="BV36" s="268"/>
      <c r="BW36" s="267"/>
    </row>
    <row r="37" spans="1:75" outlineLevel="1" x14ac:dyDescent="0.25">
      <c r="C37" s="195" t="s">
        <v>18</v>
      </c>
      <c r="D37" s="196"/>
      <c r="E37" s="195"/>
      <c r="F37" s="195"/>
      <c r="G37" s="197"/>
      <c r="H37" s="198"/>
      <c r="I37" s="244">
        <f>SUM(I28:I36)</f>
        <v>33588.800000000003</v>
      </c>
      <c r="J37" s="244">
        <f>SUM(J28:J36)</f>
        <v>38055.703999999998</v>
      </c>
      <c r="K37" s="244">
        <f>SUM(K28:K36)</f>
        <v>26837.375120000001</v>
      </c>
      <c r="L37" s="245">
        <f>SUM(L28:L36)</f>
        <v>98481.879119999998</v>
      </c>
      <c r="M37" s="3"/>
      <c r="O37" s="3"/>
      <c r="BU37" s="269">
        <f>BU28+BU32</f>
        <v>53383</v>
      </c>
      <c r="BV37" s="269">
        <f>BV28+BV32</f>
        <v>45098.879119999998</v>
      </c>
      <c r="BW37" s="267"/>
    </row>
    <row r="38" spans="1:75" outlineLevel="1" x14ac:dyDescent="0.25">
      <c r="C38" s="190" t="s">
        <v>10</v>
      </c>
      <c r="D38" s="189"/>
      <c r="E38" s="189"/>
      <c r="F38" s="189"/>
      <c r="G38" s="189"/>
      <c r="H38" s="189"/>
      <c r="I38" s="246" t="s">
        <v>143</v>
      </c>
      <c r="J38" s="247"/>
      <c r="K38" s="247"/>
      <c r="L38" s="247"/>
      <c r="M38" s="3"/>
      <c r="BU38" s="268"/>
      <c r="BV38" s="268"/>
      <c r="BW38" s="267"/>
    </row>
    <row r="39" spans="1:75" outlineLevel="1" x14ac:dyDescent="0.25">
      <c r="A39" t="s">
        <v>98</v>
      </c>
      <c r="C39" s="191" t="s">
        <v>16</v>
      </c>
      <c r="D39" s="192"/>
      <c r="E39" s="191"/>
      <c r="F39" s="191"/>
      <c r="G39" s="193"/>
      <c r="H39" s="194"/>
      <c r="I39" s="248" t="s">
        <v>3</v>
      </c>
      <c r="J39" s="248" t="s">
        <v>4</v>
      </c>
      <c r="K39" s="248" t="s">
        <v>147</v>
      </c>
      <c r="L39" s="248" t="s">
        <v>5</v>
      </c>
      <c r="M39" s="3"/>
      <c r="N39" s="21"/>
      <c r="O39" s="3"/>
      <c r="BU39" s="268"/>
      <c r="BV39" s="268"/>
      <c r="BW39" s="267"/>
    </row>
    <row r="40" spans="1:75" outlineLevel="1" x14ac:dyDescent="0.25">
      <c r="A40" t="s">
        <v>95</v>
      </c>
      <c r="C40" s="158" t="s">
        <v>241</v>
      </c>
      <c r="D40" s="160"/>
      <c r="E40" s="158"/>
      <c r="F40" s="158"/>
      <c r="G40" s="6"/>
      <c r="H40" s="8"/>
      <c r="I40" s="249">
        <f>I28*0.169</f>
        <v>4275.1592000000001</v>
      </c>
      <c r="J40" s="249">
        <f>J28*0.169</f>
        <v>4403.4139760000007</v>
      </c>
      <c r="K40" s="249">
        <f>K28*0.169</f>
        <v>4535.5163952800003</v>
      </c>
      <c r="L40" s="242">
        <f>SUM(I40:K40)</f>
        <v>13214.089571280001</v>
      </c>
      <c r="M40" s="3"/>
      <c r="O40" s="3"/>
      <c r="BU40" s="268">
        <v>8395</v>
      </c>
      <c r="BV40" s="268">
        <f>L40-BU40</f>
        <v>4819.0895712800011</v>
      </c>
      <c r="BW40" s="267"/>
    </row>
    <row r="41" spans="1:75" hidden="1" outlineLevel="1" x14ac:dyDescent="0.25">
      <c r="A41" t="s">
        <v>99</v>
      </c>
      <c r="C41" s="158" t="s">
        <v>243</v>
      </c>
      <c r="D41" s="160"/>
      <c r="E41" s="158"/>
      <c r="F41" s="158"/>
      <c r="G41" s="6"/>
      <c r="H41" s="8"/>
      <c r="I41" s="249">
        <f>SUMIF($A$28:$A$36,$A41,M$28:M$36) + SUMIF($A$28:$A$36,$B41,M$28:M$36) + SUMIF($A$28:$A$36,$M41,M$28:M$36)</f>
        <v>0</v>
      </c>
      <c r="J41" s="249">
        <f>SUMIF($A$28:$A$36,$A41,N$28:N$36) + SUMIF($A$28:$A$36,$B41,N$28:N$36) + SUMIF($A$28:$A$36,$M41,N$28:N$36)</f>
        <v>0</v>
      </c>
      <c r="K41" s="249"/>
      <c r="L41" s="242">
        <f t="shared" ref="L41:L42" si="1">SUM(I41:J41)</f>
        <v>0</v>
      </c>
      <c r="M41" s="154"/>
      <c r="N41" s="154"/>
      <c r="O41" s="154"/>
      <c r="P41" s="154"/>
      <c r="BU41" s="268"/>
      <c r="BV41" s="268"/>
      <c r="BW41" s="267"/>
    </row>
    <row r="42" spans="1:75" hidden="1" outlineLevel="1" x14ac:dyDescent="0.25">
      <c r="A42" t="s">
        <v>100</v>
      </c>
      <c r="C42" s="158" t="s">
        <v>244</v>
      </c>
      <c r="D42" s="160"/>
      <c r="E42" s="158"/>
      <c r="F42" s="158"/>
      <c r="G42" s="6"/>
      <c r="H42" s="8"/>
      <c r="I42" s="249">
        <f>SUMIF($A$28:$A$36,$A42,M$28:M$36) + SUMIF($A$28:$A$36,$B42,M$28:M$36) + SUMIF($A$28:$A$36,$M42,M$28:M$36)</f>
        <v>0</v>
      </c>
      <c r="J42" s="249">
        <f>SUMIF($A$28:$A$36,$A42,N$28:N$36) + SUMIF($A$28:$A$36,$B42,N$28:N$36) + SUMIF($A$28:$A$36,$M42,N$28:N$36)</f>
        <v>0</v>
      </c>
      <c r="K42" s="249"/>
      <c r="L42" s="242">
        <f t="shared" si="1"/>
        <v>0</v>
      </c>
      <c r="M42" s="3"/>
      <c r="N42" s="3"/>
      <c r="O42" s="3"/>
      <c r="P42" s="3"/>
      <c r="BU42" s="268"/>
      <c r="BV42" s="268"/>
      <c r="BW42" s="267"/>
    </row>
    <row r="43" spans="1:75" outlineLevel="1" x14ac:dyDescent="0.25">
      <c r="A43" t="s">
        <v>96</v>
      </c>
      <c r="B43" t="s">
        <v>107</v>
      </c>
      <c r="C43" s="158" t="s">
        <v>15</v>
      </c>
      <c r="D43" s="160"/>
      <c r="E43" s="158"/>
      <c r="F43" s="158"/>
      <c r="G43" s="6"/>
      <c r="H43" s="8"/>
      <c r="I43" s="249">
        <v>660</v>
      </c>
      <c r="J43" s="249">
        <f t="shared" ref="J43:K43" si="2">SUM(J32:J34)*0.08</f>
        <v>960</v>
      </c>
      <c r="K43" s="249"/>
      <c r="L43" s="242">
        <f>SUM(I43:K43)</f>
        <v>1620</v>
      </c>
      <c r="M43" s="3" t="s">
        <v>108</v>
      </c>
      <c r="N43" s="3"/>
      <c r="O43" s="100"/>
      <c r="P43" s="3"/>
      <c r="BU43" s="268">
        <v>251</v>
      </c>
      <c r="BV43" s="268">
        <f>L43-BU43</f>
        <v>1369</v>
      </c>
      <c r="BW43" s="267"/>
    </row>
    <row r="44" spans="1:75" outlineLevel="1" x14ac:dyDescent="0.25">
      <c r="C44" s="203" t="s">
        <v>140</v>
      </c>
      <c r="D44" s="200"/>
      <c r="E44" s="199"/>
      <c r="F44" s="199"/>
      <c r="G44" s="201"/>
      <c r="H44" s="202"/>
      <c r="I44" s="250">
        <f t="shared" ref="I44:J44" si="3">SUM(I40:I43)</f>
        <v>4935.1592000000001</v>
      </c>
      <c r="J44" s="250">
        <f t="shared" si="3"/>
        <v>5363.4139760000007</v>
      </c>
      <c r="K44" s="250">
        <f t="shared" ref="K44" si="4">SUM(K40:K43)</f>
        <v>4535.5163952800003</v>
      </c>
      <c r="L44" s="251">
        <f>SUM(I44:K44)</f>
        <v>14834.089571280001</v>
      </c>
      <c r="M44" s="16"/>
      <c r="N44" s="3"/>
      <c r="BU44" s="269">
        <f>BU40+BU43</f>
        <v>8646</v>
      </c>
      <c r="BV44" s="269">
        <f>BV40+BV43</f>
        <v>6188.0895712800011</v>
      </c>
      <c r="BW44" s="267"/>
    </row>
    <row r="45" spans="1:75" outlineLevel="1" x14ac:dyDescent="0.25">
      <c r="C45" s="215" t="s">
        <v>19</v>
      </c>
      <c r="D45" s="216"/>
      <c r="E45" s="195"/>
      <c r="F45" s="195"/>
      <c r="G45" s="197"/>
      <c r="H45" s="198"/>
      <c r="I45" s="244">
        <f t="shared" ref="I45:K45" si="5">I37+I44</f>
        <v>38523.959200000005</v>
      </c>
      <c r="J45" s="244">
        <f t="shared" si="5"/>
        <v>43419.117976000001</v>
      </c>
      <c r="K45" s="244">
        <f t="shared" si="5"/>
        <v>31372.89151528</v>
      </c>
      <c r="L45" s="245">
        <f>SUM(I45:K45)</f>
        <v>113315.96869128001</v>
      </c>
      <c r="BU45" s="269">
        <f>BU37+BU44</f>
        <v>62029</v>
      </c>
      <c r="BV45" s="269">
        <f>BV37+BV44</f>
        <v>51286.968691279995</v>
      </c>
      <c r="BW45" s="267"/>
    </row>
    <row r="46" spans="1:75" x14ac:dyDescent="0.25">
      <c r="I46" s="249"/>
      <c r="J46" s="249"/>
      <c r="K46" s="249"/>
      <c r="L46" s="249"/>
      <c r="N46" s="3"/>
      <c r="P46" s="3"/>
      <c r="BU46" s="268"/>
      <c r="BV46" s="268"/>
      <c r="BW46" s="267"/>
    </row>
    <row r="47" spans="1:75" outlineLevel="1" x14ac:dyDescent="0.25">
      <c r="C47" s="195" t="s">
        <v>21</v>
      </c>
      <c r="D47" s="195"/>
      <c r="E47" s="195"/>
      <c r="F47" s="195"/>
      <c r="G47" s="204"/>
      <c r="H47" s="204"/>
      <c r="I47" s="252"/>
      <c r="J47" s="253"/>
      <c r="K47" s="253"/>
      <c r="L47" s="254"/>
      <c r="N47" s="3"/>
      <c r="BU47" s="268"/>
      <c r="BV47" s="268"/>
      <c r="BW47" s="267"/>
    </row>
    <row r="48" spans="1:75" outlineLevel="1" x14ac:dyDescent="0.25">
      <c r="C48" s="139" t="s">
        <v>22</v>
      </c>
      <c r="D48" s="139"/>
      <c r="E48" s="139"/>
      <c r="F48" s="139"/>
      <c r="G48" s="46"/>
      <c r="H48" s="46"/>
      <c r="I48" s="255" t="s">
        <v>143</v>
      </c>
      <c r="J48" s="256"/>
      <c r="K48" s="256"/>
      <c r="L48" s="256"/>
      <c r="BU48" s="268"/>
      <c r="BV48" s="268"/>
      <c r="BW48" s="267"/>
    </row>
    <row r="49" spans="3:75" outlineLevel="1" x14ac:dyDescent="0.25">
      <c r="C49" s="193"/>
      <c r="D49" s="194"/>
      <c r="E49" s="193"/>
      <c r="F49" s="193"/>
      <c r="G49" s="193"/>
      <c r="H49" s="194"/>
      <c r="I49" s="248" t="s">
        <v>3</v>
      </c>
      <c r="J49" s="248" t="s">
        <v>4</v>
      </c>
      <c r="K49" s="248" t="s">
        <v>147</v>
      </c>
      <c r="L49" s="248" t="s">
        <v>5</v>
      </c>
      <c r="M49" s="3"/>
      <c r="BU49" s="268"/>
      <c r="BV49" s="268"/>
      <c r="BW49" s="267"/>
    </row>
    <row r="50" spans="3:75" outlineLevel="1" x14ac:dyDescent="0.25">
      <c r="C50" s="211" t="s">
        <v>246</v>
      </c>
      <c r="D50" s="214"/>
      <c r="E50" s="158"/>
      <c r="F50" s="158"/>
      <c r="H50" s="11"/>
      <c r="I50" s="257">
        <v>6000</v>
      </c>
      <c r="J50" s="257">
        <v>6000</v>
      </c>
      <c r="K50" s="257">
        <f>6000+12000</f>
        <v>18000</v>
      </c>
      <c r="L50" s="242">
        <f>SUM(I50:K50)</f>
        <v>30000</v>
      </c>
      <c r="BU50" s="268">
        <v>0</v>
      </c>
      <c r="BV50" s="268">
        <f>L50-BU50</f>
        <v>30000</v>
      </c>
      <c r="BW50" s="267"/>
    </row>
    <row r="51" spans="3:75" hidden="1" outlineLevel="1" x14ac:dyDescent="0.25">
      <c r="C51" s="211" t="s">
        <v>246</v>
      </c>
      <c r="D51" s="214"/>
      <c r="E51" s="158"/>
      <c r="F51" s="158"/>
      <c r="H51" s="11"/>
      <c r="I51" s="257">
        <v>0</v>
      </c>
      <c r="J51" s="257">
        <v>0</v>
      </c>
      <c r="K51" s="257"/>
      <c r="L51" s="242">
        <f t="shared" ref="L51:L60" si="6">SUM(I51:J51)</f>
        <v>0</v>
      </c>
      <c r="BU51" s="268"/>
      <c r="BV51" s="268"/>
      <c r="BW51" s="267"/>
    </row>
    <row r="52" spans="3:75" hidden="1" outlineLevel="1" x14ac:dyDescent="0.25">
      <c r="C52" s="211" t="s">
        <v>187</v>
      </c>
      <c r="D52" s="214"/>
      <c r="E52" s="158"/>
      <c r="F52" s="158"/>
      <c r="H52" s="11"/>
      <c r="I52" s="257">
        <v>0</v>
      </c>
      <c r="J52" s="257">
        <v>0</v>
      </c>
      <c r="K52" s="257"/>
      <c r="L52" s="242">
        <f t="shared" si="6"/>
        <v>0</v>
      </c>
      <c r="BU52" s="268"/>
      <c r="BV52" s="268"/>
      <c r="BW52" s="267"/>
    </row>
    <row r="53" spans="3:75" hidden="1" outlineLevel="1" x14ac:dyDescent="0.25">
      <c r="C53" s="211" t="s">
        <v>186</v>
      </c>
      <c r="D53" s="214"/>
      <c r="E53" s="158"/>
      <c r="F53" s="158"/>
      <c r="H53" s="11"/>
      <c r="I53" s="257">
        <v>0</v>
      </c>
      <c r="J53" s="257">
        <v>0</v>
      </c>
      <c r="K53" s="257"/>
      <c r="L53" s="242">
        <f t="shared" si="6"/>
        <v>0</v>
      </c>
      <c r="BU53" s="268"/>
      <c r="BV53" s="268"/>
      <c r="BW53" s="267"/>
    </row>
    <row r="54" spans="3:75" hidden="1" outlineLevel="1" x14ac:dyDescent="0.25">
      <c r="C54" s="211" t="s">
        <v>185</v>
      </c>
      <c r="D54" s="214"/>
      <c r="E54" s="158"/>
      <c r="F54" s="158"/>
      <c r="H54" s="11"/>
      <c r="I54" s="257">
        <v>0</v>
      </c>
      <c r="J54" s="257">
        <v>0</v>
      </c>
      <c r="K54" s="257"/>
      <c r="L54" s="242">
        <f t="shared" si="6"/>
        <v>0</v>
      </c>
      <c r="BU54" s="268"/>
      <c r="BV54" s="268"/>
      <c r="BW54" s="267"/>
    </row>
    <row r="55" spans="3:75" outlineLevel="1" x14ac:dyDescent="0.25">
      <c r="C55" s="211" t="s">
        <v>142</v>
      </c>
      <c r="D55" s="214"/>
      <c r="E55" s="158"/>
      <c r="F55" s="158"/>
      <c r="H55" s="11"/>
      <c r="I55" s="257">
        <v>6000</v>
      </c>
      <c r="J55" s="257">
        <f>I55*1.04</f>
        <v>6240</v>
      </c>
      <c r="K55" s="257">
        <f>J55*1.04</f>
        <v>6489.6</v>
      </c>
      <c r="L55" s="242">
        <f>SUM(I55:K55)</f>
        <v>18729.599999999999</v>
      </c>
      <c r="BU55" s="268">
        <f>5272.73-16.53</f>
        <v>5256.2</v>
      </c>
      <c r="BV55" s="268">
        <f>L55-BU55</f>
        <v>13473.399999999998</v>
      </c>
      <c r="BW55" s="267"/>
    </row>
    <row r="56" spans="3:75" hidden="1" outlineLevel="1" x14ac:dyDescent="0.25">
      <c r="C56" s="211" t="s">
        <v>181</v>
      </c>
      <c r="D56" s="214"/>
      <c r="E56" s="158"/>
      <c r="F56" s="158"/>
      <c r="H56" s="11"/>
      <c r="I56" s="257">
        <v>0</v>
      </c>
      <c r="J56" s="257">
        <v>0</v>
      </c>
      <c r="K56" s="257"/>
      <c r="L56" s="242">
        <f t="shared" si="6"/>
        <v>0</v>
      </c>
      <c r="BU56" s="268"/>
      <c r="BV56" s="268"/>
      <c r="BW56" s="267"/>
    </row>
    <row r="57" spans="3:75" hidden="1" outlineLevel="1" x14ac:dyDescent="0.25">
      <c r="C57" s="158" t="s">
        <v>1</v>
      </c>
      <c r="D57" s="160"/>
      <c r="E57" s="158" t="s">
        <v>195</v>
      </c>
      <c r="F57" s="158"/>
      <c r="G57" s="110"/>
      <c r="H57" s="11"/>
      <c r="I57" s="258">
        <v>0</v>
      </c>
      <c r="J57" s="258">
        <v>0</v>
      </c>
      <c r="K57" s="258"/>
      <c r="L57" s="259">
        <f t="shared" si="6"/>
        <v>0</v>
      </c>
      <c r="BU57" s="268"/>
      <c r="BV57" s="268"/>
      <c r="BW57" s="267"/>
    </row>
    <row r="58" spans="3:75" hidden="1" outlineLevel="1" x14ac:dyDescent="0.25">
      <c r="C58" s="158" t="s">
        <v>2</v>
      </c>
      <c r="D58" s="160"/>
      <c r="E58" s="158" t="s">
        <v>195</v>
      </c>
      <c r="F58" s="158"/>
      <c r="G58" s="110"/>
      <c r="H58" s="11"/>
      <c r="I58" s="258">
        <v>0</v>
      </c>
      <c r="J58" s="258">
        <v>0</v>
      </c>
      <c r="K58" s="258"/>
      <c r="L58" s="259">
        <f t="shared" si="6"/>
        <v>0</v>
      </c>
      <c r="BU58" s="268"/>
      <c r="BV58" s="268"/>
      <c r="BW58" s="267"/>
    </row>
    <row r="59" spans="3:75" hidden="1" outlineLevel="1" x14ac:dyDescent="0.25">
      <c r="C59" s="159" t="s">
        <v>0</v>
      </c>
      <c r="D59" s="136"/>
      <c r="E59" s="159" t="s">
        <v>195</v>
      </c>
      <c r="F59" s="159"/>
      <c r="G59" s="108"/>
      <c r="H59" s="105"/>
      <c r="I59" s="260">
        <v>0</v>
      </c>
      <c r="J59" s="260">
        <v>0</v>
      </c>
      <c r="K59" s="260"/>
      <c r="L59" s="261">
        <f t="shared" si="6"/>
        <v>0</v>
      </c>
      <c r="BU59" s="268"/>
      <c r="BV59" s="268"/>
      <c r="BW59" s="267"/>
    </row>
    <row r="60" spans="3:75" hidden="1" outlineLevel="1" x14ac:dyDescent="0.25">
      <c r="C60" s="159" t="s">
        <v>20</v>
      </c>
      <c r="D60" s="136"/>
      <c r="E60" s="165"/>
      <c r="F60" s="159"/>
      <c r="G60" s="104"/>
      <c r="H60" s="105"/>
      <c r="I60" s="260">
        <v>0</v>
      </c>
      <c r="J60" s="260">
        <v>0</v>
      </c>
      <c r="K60" s="260"/>
      <c r="L60" s="261">
        <f t="shared" si="6"/>
        <v>0</v>
      </c>
      <c r="BU60" s="268"/>
      <c r="BV60" s="268"/>
      <c r="BW60" s="267"/>
    </row>
    <row r="61" spans="3:75" outlineLevel="1" x14ac:dyDescent="0.25">
      <c r="C61" s="212" t="s">
        <v>247</v>
      </c>
      <c r="D61" s="213"/>
      <c r="E61" s="159" t="s">
        <v>248</v>
      </c>
      <c r="F61" s="159"/>
      <c r="G61" s="104"/>
      <c r="H61" s="105"/>
      <c r="I61" s="260">
        <v>60750</v>
      </c>
      <c r="J61" s="260">
        <f>I61*1.03*0.6</f>
        <v>37543.5</v>
      </c>
      <c r="K61" s="260">
        <f>J61*1.03*0.5</f>
        <v>19334.9025</v>
      </c>
      <c r="L61" s="261">
        <f>SUM(I61:K61)</f>
        <v>117628.4025</v>
      </c>
      <c r="BU61" s="268">
        <v>117628</v>
      </c>
      <c r="BV61" s="268">
        <f>L61-BU61</f>
        <v>0.40249999999650754</v>
      </c>
      <c r="BW61" s="267"/>
    </row>
    <row r="62" spans="3:75" outlineLevel="1" x14ac:dyDescent="0.25">
      <c r="C62" s="210" t="s">
        <v>23</v>
      </c>
      <c r="D62" s="200"/>
      <c r="E62" s="199"/>
      <c r="F62" s="199"/>
      <c r="G62" s="201"/>
      <c r="H62" s="202"/>
      <c r="I62" s="250">
        <f>SUM(I50:I61)</f>
        <v>72750</v>
      </c>
      <c r="J62" s="250">
        <f t="shared" ref="J62:K62" si="7">SUM(J50:J61)</f>
        <v>49783.5</v>
      </c>
      <c r="K62" s="250">
        <f t="shared" si="7"/>
        <v>43824.502500000002</v>
      </c>
      <c r="L62" s="251">
        <f>SUM(I62:K62)</f>
        <v>166358.0025</v>
      </c>
      <c r="BU62" s="269">
        <f>BU50+BU55+BU61</f>
        <v>122884.2</v>
      </c>
      <c r="BV62" s="269">
        <f>BV50+BV55+BV61</f>
        <v>43473.802499999991</v>
      </c>
      <c r="BW62" s="267"/>
    </row>
    <row r="63" spans="3:75" outlineLevel="1" x14ac:dyDescent="0.25">
      <c r="C63" s="217" t="s">
        <v>24</v>
      </c>
      <c r="D63" s="218"/>
      <c r="E63" s="155"/>
      <c r="F63" s="155"/>
      <c r="G63" s="54"/>
      <c r="H63" s="55"/>
      <c r="I63" s="262">
        <f>I62+I45</f>
        <v>111273.95920000001</v>
      </c>
      <c r="J63" s="262">
        <f t="shared" ref="J63" si="8">J62+J45</f>
        <v>93202.617976000009</v>
      </c>
      <c r="K63" s="262">
        <f>K62+K45</f>
        <v>75197.394015280006</v>
      </c>
      <c r="L63" s="262">
        <f>L62+L45</f>
        <v>279673.97119128</v>
      </c>
      <c r="BU63" s="269">
        <f>BU45+BU62</f>
        <v>184913.2</v>
      </c>
      <c r="BV63" s="269">
        <f>BV45+BV62</f>
        <v>94760.771191279986</v>
      </c>
      <c r="BW63" s="267"/>
    </row>
    <row r="64" spans="3:75" x14ac:dyDescent="0.25">
      <c r="I64" s="249"/>
      <c r="J64" s="249"/>
      <c r="K64" s="249"/>
      <c r="L64" s="249"/>
      <c r="BU64" s="268"/>
      <c r="BV64" s="268"/>
      <c r="BW64" s="267"/>
    </row>
    <row r="65" spans="3:75" outlineLevel="1" x14ac:dyDescent="0.25">
      <c r="C65" s="195" t="s">
        <v>26</v>
      </c>
      <c r="D65" s="195"/>
      <c r="E65" s="195"/>
      <c r="F65" s="195"/>
      <c r="G65" s="204"/>
      <c r="H65" s="185"/>
      <c r="I65" s="252"/>
      <c r="J65" s="253"/>
      <c r="K65" s="253"/>
      <c r="L65" s="263"/>
      <c r="BU65" s="268"/>
      <c r="BV65" s="268"/>
      <c r="BW65" s="267"/>
    </row>
    <row r="66" spans="3:75" outlineLevel="1" x14ac:dyDescent="0.25">
      <c r="C66" s="190" t="s">
        <v>28</v>
      </c>
      <c r="D66" s="190"/>
      <c r="E66" s="190"/>
      <c r="F66" s="190"/>
      <c r="G66" s="189"/>
      <c r="H66" s="189"/>
      <c r="I66" s="246" t="s">
        <v>143</v>
      </c>
      <c r="J66" s="247"/>
      <c r="K66" s="247"/>
      <c r="L66" s="247"/>
      <c r="BU66" s="268"/>
      <c r="BV66" s="268"/>
      <c r="BW66" s="267"/>
    </row>
    <row r="67" spans="3:75" outlineLevel="1" x14ac:dyDescent="0.25">
      <c r="C67" s="219"/>
      <c r="D67" s="220"/>
      <c r="E67" s="193"/>
      <c r="F67" s="193"/>
      <c r="G67" s="193"/>
      <c r="H67" s="194"/>
      <c r="I67" s="248" t="s">
        <v>3</v>
      </c>
      <c r="J67" s="248" t="s">
        <v>4</v>
      </c>
      <c r="K67" s="248" t="s">
        <v>147</v>
      </c>
      <c r="L67" s="248" t="s">
        <v>5</v>
      </c>
      <c r="BU67" s="268"/>
      <c r="BV67" s="268"/>
      <c r="BW67" s="267"/>
    </row>
    <row r="68" spans="3:75" outlineLevel="1" x14ac:dyDescent="0.25">
      <c r="C68" s="158" t="s">
        <v>20</v>
      </c>
      <c r="D68" s="160"/>
      <c r="E68" s="158"/>
      <c r="F68" s="158"/>
      <c r="H68" s="11"/>
      <c r="I68" s="241">
        <f>I60</f>
        <v>0</v>
      </c>
      <c r="J68" s="241">
        <f>J60</f>
        <v>0</v>
      </c>
      <c r="K68" s="241"/>
      <c r="L68" s="242">
        <f t="shared" ref="L68:L71" si="9">SUM(I68:J68)</f>
        <v>0</v>
      </c>
      <c r="BU68" s="268"/>
      <c r="BV68" s="268"/>
      <c r="BW68" s="267"/>
    </row>
    <row r="69" spans="3:75" outlineLevel="1" x14ac:dyDescent="0.25">
      <c r="C69" s="158" t="s">
        <v>245</v>
      </c>
      <c r="D69" s="160"/>
      <c r="E69" s="158"/>
      <c r="F69" s="158"/>
      <c r="H69" s="11"/>
      <c r="I69" s="241">
        <f>I61-25000</f>
        <v>35750</v>
      </c>
      <c r="J69" s="241">
        <f>J61</f>
        <v>37543.5</v>
      </c>
      <c r="K69" s="241">
        <f>K61</f>
        <v>19334.9025</v>
      </c>
      <c r="L69" s="242">
        <f t="shared" si="9"/>
        <v>73293.5</v>
      </c>
      <c r="BU69" s="268"/>
      <c r="BV69" s="268">
        <f>L69-BU69</f>
        <v>73293.5</v>
      </c>
      <c r="BW69" s="267"/>
    </row>
    <row r="70" spans="3:75" outlineLevel="1" x14ac:dyDescent="0.25">
      <c r="C70" s="158" t="s">
        <v>0</v>
      </c>
      <c r="D70" s="160"/>
      <c r="E70" s="158"/>
      <c r="G70" s="179"/>
      <c r="H70" s="7"/>
      <c r="I70" s="249">
        <f>I59</f>
        <v>0</v>
      </c>
      <c r="J70" s="249">
        <f>J59</f>
        <v>0</v>
      </c>
      <c r="K70" s="249"/>
      <c r="L70" s="242">
        <f t="shared" si="9"/>
        <v>0</v>
      </c>
      <c r="BU70" s="268"/>
      <c r="BV70" s="268"/>
      <c r="BW70" s="267"/>
    </row>
    <row r="71" spans="3:75" outlineLevel="1" x14ac:dyDescent="0.25">
      <c r="C71" s="205" t="s">
        <v>29</v>
      </c>
      <c r="D71" s="206"/>
      <c r="E71" s="205"/>
      <c r="F71" s="205"/>
      <c r="G71" s="201"/>
      <c r="H71" s="202"/>
      <c r="I71" s="250">
        <f>SUM(I68:I70)</f>
        <v>35750</v>
      </c>
      <c r="J71" s="250">
        <f>SUM(J68:J70)</f>
        <v>37543.5</v>
      </c>
      <c r="K71" s="250">
        <f>SUM(K68:K70)</f>
        <v>19334.9025</v>
      </c>
      <c r="L71" s="251">
        <f t="shared" si="9"/>
        <v>73293.5</v>
      </c>
      <c r="BU71" s="268"/>
      <c r="BV71" s="268">
        <f>BV69</f>
        <v>73293.5</v>
      </c>
      <c r="BW71" s="267"/>
    </row>
    <row r="72" spans="3:75" outlineLevel="1" x14ac:dyDescent="0.25">
      <c r="C72" s="205" t="s">
        <v>31</v>
      </c>
      <c r="D72" s="206"/>
      <c r="E72" s="205"/>
      <c r="F72" s="205"/>
      <c r="G72" s="201"/>
      <c r="H72" s="202"/>
      <c r="I72" s="250">
        <f>I63-I71</f>
        <v>75523.959200000012</v>
      </c>
      <c r="J72" s="250">
        <f t="shared" ref="J72:K72" si="10">J63-J71</f>
        <v>55659.117976000009</v>
      </c>
      <c r="K72" s="250">
        <f t="shared" si="10"/>
        <v>55862.491515280009</v>
      </c>
      <c r="L72" s="251">
        <f>SUM(I72:K72)</f>
        <v>187045.56869128003</v>
      </c>
      <c r="BU72" s="268"/>
      <c r="BV72" s="268">
        <f>L72-BU72</f>
        <v>187045.56869128003</v>
      </c>
      <c r="BW72" s="267"/>
    </row>
    <row r="73" spans="3:75" outlineLevel="1" x14ac:dyDescent="0.25">
      <c r="C73" s="207" t="s">
        <v>30</v>
      </c>
      <c r="D73" s="208"/>
      <c r="E73" s="207" t="s">
        <v>27</v>
      </c>
      <c r="F73" s="207">
        <v>0.37</v>
      </c>
      <c r="G73" s="197"/>
      <c r="H73" s="198"/>
      <c r="I73" s="244">
        <f>I72*0.37</f>
        <v>27943.864904000005</v>
      </c>
      <c r="J73" s="244">
        <f>J72*0.37</f>
        <v>20593.873651120004</v>
      </c>
      <c r="K73" s="244">
        <f>K72*0.37</f>
        <v>20669.121860653602</v>
      </c>
      <c r="L73" s="245">
        <f>SUM(I73:K73)</f>
        <v>69206.860415773612</v>
      </c>
      <c r="BU73" s="269">
        <v>24895</v>
      </c>
      <c r="BV73" s="269">
        <f>L73-BU73</f>
        <v>44311.860415773612</v>
      </c>
      <c r="BW73" s="267"/>
    </row>
    <row r="74" spans="3:75" x14ac:dyDescent="0.25">
      <c r="C74" s="15"/>
      <c r="G74" s="12"/>
      <c r="H74" s="16"/>
      <c r="I74" s="264"/>
      <c r="J74" s="264"/>
      <c r="K74" s="264"/>
      <c r="L74" s="265"/>
      <c r="BU74" s="268"/>
      <c r="BV74" s="268"/>
      <c r="BW74" s="267"/>
    </row>
    <row r="75" spans="3:75" outlineLevel="1" x14ac:dyDescent="0.25">
      <c r="C75" s="209" t="s">
        <v>30</v>
      </c>
      <c r="D75" s="205"/>
      <c r="E75" s="205"/>
      <c r="F75" s="205"/>
      <c r="G75" s="205"/>
      <c r="H75" s="206"/>
      <c r="I75" s="250">
        <f>I73</f>
        <v>27943.864904000005</v>
      </c>
      <c r="J75" s="250">
        <f t="shared" ref="J75:K75" si="11">J73</f>
        <v>20593.873651120004</v>
      </c>
      <c r="K75" s="250">
        <f t="shared" si="11"/>
        <v>20669.121860653602</v>
      </c>
      <c r="L75" s="251">
        <f>SUM(I75:K75)</f>
        <v>69206.860415773612</v>
      </c>
      <c r="BU75" s="268">
        <f>BU73</f>
        <v>24895</v>
      </c>
      <c r="BV75" s="268">
        <f>L75-BU75</f>
        <v>44311.860415773612</v>
      </c>
      <c r="BW75" s="267"/>
    </row>
    <row r="76" spans="3:75" outlineLevel="1" x14ac:dyDescent="0.25">
      <c r="C76" s="209" t="s">
        <v>24</v>
      </c>
      <c r="D76" s="205"/>
      <c r="E76" s="205"/>
      <c r="F76" s="205"/>
      <c r="G76" s="205"/>
      <c r="H76" s="206"/>
      <c r="I76" s="250">
        <f>I63</f>
        <v>111273.95920000001</v>
      </c>
      <c r="J76" s="250">
        <f>J63</f>
        <v>93202.617976000009</v>
      </c>
      <c r="K76" s="250">
        <f>K63</f>
        <v>75197.394015280006</v>
      </c>
      <c r="L76" s="251">
        <f>SUM(I76:K76)</f>
        <v>279673.97119128006</v>
      </c>
      <c r="BU76" s="268">
        <f>BU63</f>
        <v>184913.2</v>
      </c>
      <c r="BV76" s="268">
        <f>L76-BU76</f>
        <v>94760.771191280044</v>
      </c>
      <c r="BW76" s="267"/>
    </row>
    <row r="77" spans="3:75" outlineLevel="1" x14ac:dyDescent="0.25">
      <c r="C77" s="209" t="s">
        <v>33</v>
      </c>
      <c r="D77" s="205"/>
      <c r="E77" s="205"/>
      <c r="F77" s="205"/>
      <c r="G77" s="205"/>
      <c r="H77" s="206"/>
      <c r="I77" s="250">
        <f>I75+I76</f>
        <v>139217.82410400003</v>
      </c>
      <c r="J77" s="250">
        <f t="shared" ref="J77:K77" si="12">J75+J76</f>
        <v>113796.49162712001</v>
      </c>
      <c r="K77" s="250">
        <f t="shared" si="12"/>
        <v>95866.515875933605</v>
      </c>
      <c r="L77" s="251">
        <f>SUM(I77:K77)</f>
        <v>348880.83160705364</v>
      </c>
      <c r="BU77" s="269">
        <f>BU75+BU76</f>
        <v>209808.2</v>
      </c>
      <c r="BV77" s="269">
        <f>L77-BU77</f>
        <v>139072.63160705363</v>
      </c>
      <c r="BW77" s="267"/>
    </row>
    <row r="78" spans="3:75" x14ac:dyDescent="0.25">
      <c r="BU78" s="267"/>
      <c r="BV78" s="267"/>
      <c r="BW78" s="267"/>
    </row>
    <row r="79" spans="3:75" x14ac:dyDescent="0.25">
      <c r="BU79" s="267"/>
      <c r="BV79" s="267"/>
      <c r="BW79" s="267"/>
    </row>
    <row r="80" spans="3:75" x14ac:dyDescent="0.25">
      <c r="L80" s="129"/>
      <c r="BU80" s="267"/>
      <c r="BV80" s="267"/>
      <c r="BW80" s="267"/>
    </row>
    <row r="81" spans="12:75" x14ac:dyDescent="0.25">
      <c r="L81" s="129"/>
      <c r="BU81" s="267"/>
      <c r="BV81" s="267"/>
      <c r="BW81" s="267"/>
    </row>
    <row r="82" spans="12:75" x14ac:dyDescent="0.25">
      <c r="L82" s="129"/>
      <c r="BU82" s="267"/>
      <c r="BV82" s="267"/>
      <c r="BW82" s="267"/>
    </row>
    <row r="83" spans="12:75" x14ac:dyDescent="0.25">
      <c r="L83" s="129"/>
      <c r="BU83" s="267"/>
      <c r="BV83" s="267"/>
      <c r="BW83" s="267"/>
    </row>
    <row r="84" spans="12:75" x14ac:dyDescent="0.25">
      <c r="L84" s="129"/>
      <c r="BU84" s="267"/>
      <c r="BV84" s="267"/>
      <c r="BW84" s="267"/>
    </row>
    <row r="85" spans="12:75" ht="15" customHeight="1" x14ac:dyDescent="0.25">
      <c r="L85" s="129"/>
      <c r="BU85" s="267"/>
      <c r="BV85" s="267"/>
      <c r="BW85" s="267"/>
    </row>
    <row r="86" spans="12:75" ht="15" customHeight="1" x14ac:dyDescent="0.25">
      <c r="L86" s="129"/>
      <c r="BU86" s="267"/>
      <c r="BV86" s="267"/>
      <c r="BW86" s="267"/>
    </row>
    <row r="87" spans="12:75" x14ac:dyDescent="0.25">
      <c r="L87" s="129"/>
      <c r="BU87" s="267"/>
      <c r="BV87" s="267"/>
      <c r="BW87" s="267"/>
    </row>
    <row r="88" spans="12:75" x14ac:dyDescent="0.25">
      <c r="L88" s="129"/>
      <c r="BU88" s="267"/>
      <c r="BV88" s="267"/>
      <c r="BW88" s="267"/>
    </row>
    <row r="89" spans="12:75" ht="15" customHeight="1" x14ac:dyDescent="0.25">
      <c r="L89" s="129"/>
      <c r="BU89" s="267"/>
      <c r="BV89" s="267"/>
      <c r="BW89" s="267"/>
    </row>
    <row r="90" spans="12:75" ht="15" customHeight="1" x14ac:dyDescent="0.25">
      <c r="L90" s="122"/>
      <c r="BU90" s="267"/>
      <c r="BV90" s="267"/>
      <c r="BW90" s="267"/>
    </row>
    <row r="91" spans="12:75" x14ac:dyDescent="0.25">
      <c r="L91" s="122"/>
      <c r="BU91" s="267"/>
      <c r="BV91" s="267"/>
      <c r="BW91" s="267"/>
    </row>
    <row r="92" spans="12:75" x14ac:dyDescent="0.25">
      <c r="BU92" s="267"/>
      <c r="BV92" s="267"/>
      <c r="BW92" s="267"/>
    </row>
    <row r="93" spans="12:75" ht="15.75" x14ac:dyDescent="0.25">
      <c r="L93" s="123"/>
      <c r="BU93" s="267"/>
      <c r="BV93" s="267"/>
      <c r="BW93" s="267"/>
    </row>
    <row r="94" spans="12:75" x14ac:dyDescent="0.25">
      <c r="BU94" s="267"/>
      <c r="BV94" s="267"/>
      <c r="BW94" s="267"/>
    </row>
    <row r="95" spans="12:75" ht="15" customHeight="1" x14ac:dyDescent="0.25"/>
    <row r="96" spans="12:75" ht="15" customHeight="1" x14ac:dyDescent="0.25"/>
    <row r="98" ht="19.5" customHeight="1" x14ac:dyDescent="0.25"/>
    <row r="99" ht="15" customHeight="1" x14ac:dyDescent="0.25"/>
    <row r="100" ht="15.75" customHeight="1" x14ac:dyDescent="0.25"/>
  </sheetData>
  <mergeCells count="21">
    <mergeCell ref="I15:L15"/>
    <mergeCell ref="C63:D63"/>
    <mergeCell ref="C67:D67"/>
    <mergeCell ref="C56:D56"/>
    <mergeCell ref="C35:D35"/>
    <mergeCell ref="C34:D34"/>
    <mergeCell ref="C55:D55"/>
    <mergeCell ref="C54:D54"/>
    <mergeCell ref="C53:D53"/>
    <mergeCell ref="C52:D52"/>
    <mergeCell ref="C51:D51"/>
    <mergeCell ref="C36:D36"/>
    <mergeCell ref="C31:D31"/>
    <mergeCell ref="C30:D30"/>
    <mergeCell ref="C29:D29"/>
    <mergeCell ref="C28:D28"/>
    <mergeCell ref="C61:D61"/>
    <mergeCell ref="C50:D50"/>
    <mergeCell ref="C45:D45"/>
    <mergeCell ref="C33:D33"/>
    <mergeCell ref="C32:D32"/>
  </mergeCells>
  <conditionalFormatting sqref="U8 U13">
    <cfRule type="expression" dxfId="17" priority="12">
      <formula>VALUE($U$9)&gt;0</formula>
    </cfRule>
  </conditionalFormatting>
  <conditionalFormatting sqref="C8 C13">
    <cfRule type="expression" dxfId="16" priority="11">
      <formula>VALUE($C$9)&gt;0</formula>
    </cfRule>
  </conditionalFormatting>
  <conditionalFormatting sqref="D8:Q8 D13:Q13">
    <cfRule type="expression" dxfId="15" priority="5" stopIfTrue="1">
      <formula>VALUE($C$9)&gt;0</formula>
    </cfRule>
    <cfRule type="expression" dxfId="14" priority="6" stopIfTrue="1">
      <formula>VALUE(#REF!)&gt;0</formula>
    </cfRule>
    <cfRule type="dataBar" priority="7">
      <dataBar showValue="0">
        <cfvo type="num" val="$C$8"/>
        <cfvo type="num" val="#REF!"/>
        <color rgb="FF63C384"/>
      </dataBar>
    </cfRule>
  </conditionalFormatting>
  <conditionalFormatting sqref="P8 P13">
    <cfRule type="expression" dxfId="13" priority="4">
      <formula>VALUE($P$9)&gt;0</formula>
    </cfRule>
  </conditionalFormatting>
  <conditionalFormatting sqref="D13 D8">
    <cfRule type="expression" dxfId="12" priority="142" stopIfTrue="1">
      <formula>VALUE($C$9)&gt;0</formula>
    </cfRule>
    <cfRule type="expression" dxfId="11" priority="143" stopIfTrue="1">
      <formula>VALUE($U$9)&gt;0</formula>
    </cfRule>
    <cfRule type="dataBar" priority="144">
      <dataBar showValue="0">
        <cfvo type="num" val="$C$8"/>
        <cfvo type="num" val="$U$8"/>
        <color rgb="FF63C384"/>
      </dataBar>
    </cfRule>
  </conditionalFormatting>
  <conditionalFormatting sqref="D13 D8">
    <cfRule type="expression" dxfId="10" priority="148" stopIfTrue="1">
      <formula>VALUE($C$9)&gt;0</formula>
    </cfRule>
    <cfRule type="expression" dxfId="9" priority="149" stopIfTrue="1">
      <formula>VALUE($P$9)&gt;0</formula>
    </cfRule>
    <cfRule type="dataBar" priority="150">
      <dataBar showValue="0">
        <cfvo type="num" val="$C$8"/>
        <cfvo type="num" val="$P$8"/>
        <color rgb="FF63C384"/>
      </dataBar>
    </cfRule>
  </conditionalFormatting>
  <dataValidations count="1">
    <dataValidation type="list" allowBlank="1" sqref="C28:C36" xr:uid="{00000000-0002-0000-0200-000000000000}">
      <formula1>$C$126:$C$135</formula1>
    </dataValidation>
  </dataValidations>
  <pageMargins left="0.7" right="0.7" top="0.75" bottom="0.75" header="0.3" footer="0.3"/>
  <pageSetup scale="61"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5" r:id="rId4" name="Button 191">
              <controlPr defaultSize="0" print="0" autoFill="0" autoPict="0" macro="[0]!UpdateCompens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561975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5" name="Button 192">
              <controlPr defaultSize="0" print="0" autoFill="0" autoPict="0" macro="[0]!MakePrintSheet.MakePrintSheet">
                <anchor moveWithCells="1" sizeWithCells="1">
                  <from>
                    <xdr:col>3</xdr:col>
                    <xdr:colOff>762000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H116"/>
  <sheetViews>
    <sheetView workbookViewId="0">
      <selection activeCell="I15" sqref="I15"/>
    </sheetView>
  </sheetViews>
  <sheetFormatPr defaultColWidth="8.85546875" defaultRowHeight="15" x14ac:dyDescent="0.25"/>
  <cols>
    <col min="1" max="1" width="27.42578125" bestFit="1" customWidth="1"/>
    <col min="2" max="7" width="12.7109375" customWidth="1"/>
  </cols>
  <sheetData>
    <row r="1" spans="1:8" x14ac:dyDescent="0.25">
      <c r="A1" s="24" t="s">
        <v>117</v>
      </c>
      <c r="B1" t="str">
        <f>IF(ISBLANK('Input Sheet'!B3),"",'Input Sheet'!B3)</f>
        <v/>
      </c>
    </row>
    <row r="2" spans="1:8" x14ac:dyDescent="0.25">
      <c r="A2" s="24" t="s">
        <v>116</v>
      </c>
      <c r="B2" t="str">
        <f>IF(ISBLANK('Input Sheet'!B2),"",'Input Sheet'!B2)</f>
        <v>Select</v>
      </c>
    </row>
    <row r="3" spans="1:8" x14ac:dyDescent="0.25">
      <c r="A3" s="24" t="s">
        <v>118</v>
      </c>
      <c r="B3" t="str">
        <f>IF(ISBLANK('Input Sheet'!B4),"",'Input Sheet'!B4)</f>
        <v/>
      </c>
    </row>
    <row r="4" spans="1:8" x14ac:dyDescent="0.25">
      <c r="A4" s="24" t="s">
        <v>196</v>
      </c>
      <c r="B4" s="166" t="str">
        <f>IF(ISBLANK('Input Sheet'!F4),"",'Input Sheet'!F4)</f>
        <v/>
      </c>
    </row>
    <row r="5" spans="1:8" x14ac:dyDescent="0.25">
      <c r="G5" s="21" t="s">
        <v>5</v>
      </c>
      <c r="H5" s="21"/>
    </row>
    <row r="6" spans="1:8" x14ac:dyDescent="0.25">
      <c r="G6" s="4" t="e">
        <v>#REF!</v>
      </c>
      <c r="H6" s="4"/>
    </row>
    <row r="7" spans="1:8" x14ac:dyDescent="0.25">
      <c r="G7" s="4" t="e">
        <v>#REF!</v>
      </c>
      <c r="H7" s="4"/>
    </row>
    <row r="9" spans="1:8" x14ac:dyDescent="0.25">
      <c r="A9" s="34" t="s">
        <v>6</v>
      </c>
      <c r="B9" s="34"/>
      <c r="C9" s="34"/>
      <c r="D9" s="34"/>
      <c r="E9" s="34"/>
      <c r="F9" s="34" t="s">
        <v>141</v>
      </c>
      <c r="G9" s="90">
        <v>0</v>
      </c>
    </row>
    <row r="10" spans="1:8" x14ac:dyDescent="0.25">
      <c r="A10" s="35" t="s">
        <v>9</v>
      </c>
      <c r="B10" s="33"/>
      <c r="C10" s="33"/>
      <c r="D10" s="33"/>
      <c r="E10" s="33"/>
      <c r="F10" s="33"/>
      <c r="G10" s="33"/>
    </row>
    <row r="11" spans="1:8" x14ac:dyDescent="0.25">
      <c r="A11" s="144" t="s">
        <v>16</v>
      </c>
      <c r="B11" s="144"/>
      <c r="C11" s="183" t="s">
        <v>156</v>
      </c>
      <c r="D11" s="144" t="s">
        <v>165</v>
      </c>
      <c r="E11" s="36" t="s">
        <v>11</v>
      </c>
      <c r="F11" s="37" t="s">
        <v>12</v>
      </c>
      <c r="G11" s="36" t="s">
        <v>5</v>
      </c>
    </row>
    <row r="12" spans="1:8" x14ac:dyDescent="0.25">
      <c r="A12" s="140" t="s">
        <v>18</v>
      </c>
      <c r="B12" s="140"/>
      <c r="C12" s="184"/>
      <c r="D12" s="140"/>
      <c r="E12" s="38"/>
      <c r="F12" s="182"/>
      <c r="G12" s="92">
        <v>0</v>
      </c>
    </row>
    <row r="13" spans="1:8" x14ac:dyDescent="0.25">
      <c r="A13" s="35" t="s">
        <v>10</v>
      </c>
      <c r="B13" s="33"/>
      <c r="C13" s="33"/>
      <c r="D13" s="33"/>
      <c r="E13" s="33"/>
      <c r="F13" s="33"/>
      <c r="G13" s="33"/>
    </row>
    <row r="14" spans="1:8" x14ac:dyDescent="0.25">
      <c r="A14" s="144" t="s">
        <v>16</v>
      </c>
      <c r="B14" s="145"/>
      <c r="C14" s="144"/>
      <c r="D14" s="144"/>
      <c r="E14" s="36"/>
      <c r="F14" s="37"/>
      <c r="G14" s="36" t="s">
        <v>5</v>
      </c>
    </row>
    <row r="15" spans="1:8" x14ac:dyDescent="0.25">
      <c r="A15" s="158" t="s">
        <v>13</v>
      </c>
      <c r="B15" s="160"/>
      <c r="C15" s="158"/>
      <c r="D15" s="158"/>
      <c r="E15" s="6"/>
      <c r="F15" s="8"/>
      <c r="G15" s="91" t="e">
        <v>#REF!</v>
      </c>
    </row>
    <row r="16" spans="1:8" x14ac:dyDescent="0.25">
      <c r="A16" s="158" t="s">
        <v>14</v>
      </c>
      <c r="B16" s="160"/>
      <c r="C16" s="158"/>
      <c r="D16" s="158"/>
      <c r="E16" s="6"/>
      <c r="F16" s="8"/>
      <c r="G16" s="91" t="e">
        <v>#REF!</v>
      </c>
    </row>
    <row r="17" spans="1:7" x14ac:dyDescent="0.25">
      <c r="A17" s="158" t="s">
        <v>155</v>
      </c>
      <c r="B17" s="160"/>
      <c r="C17" s="158"/>
      <c r="D17" s="158"/>
      <c r="E17" s="6"/>
      <c r="F17" s="8"/>
      <c r="G17" s="91" t="e">
        <v>#REF!</v>
      </c>
    </row>
    <row r="18" spans="1:7" x14ac:dyDescent="0.25">
      <c r="A18" s="158" t="s">
        <v>97</v>
      </c>
      <c r="B18" s="160"/>
      <c r="C18" s="158"/>
      <c r="D18" s="158"/>
      <c r="E18" s="6"/>
      <c r="F18" s="8"/>
      <c r="G18" s="91" t="e">
        <v>#REF!</v>
      </c>
    </row>
    <row r="19" spans="1:7" x14ac:dyDescent="0.25">
      <c r="A19" s="140" t="s">
        <v>140</v>
      </c>
      <c r="B19" s="141"/>
      <c r="C19" s="140"/>
      <c r="D19" s="140"/>
      <c r="E19" s="38"/>
      <c r="F19" s="39"/>
      <c r="G19" s="92" t="e">
        <v>#REF!</v>
      </c>
    </row>
    <row r="20" spans="1:7" x14ac:dyDescent="0.25">
      <c r="A20" s="227" t="s">
        <v>19</v>
      </c>
      <c r="B20" s="228"/>
      <c r="C20" s="157"/>
      <c r="D20" s="157"/>
      <c r="E20" s="41"/>
      <c r="F20" s="42"/>
      <c r="G20" s="93" t="e">
        <v>#REF!</v>
      </c>
    </row>
    <row r="22" spans="1:7" x14ac:dyDescent="0.25">
      <c r="A22" s="135" t="s">
        <v>21</v>
      </c>
      <c r="B22" s="135"/>
      <c r="C22" s="135"/>
      <c r="D22" s="135"/>
      <c r="E22" s="49"/>
      <c r="F22" s="49"/>
      <c r="G22" s="94"/>
    </row>
    <row r="23" spans="1:7" x14ac:dyDescent="0.25">
      <c r="A23" s="139" t="s">
        <v>22</v>
      </c>
      <c r="B23" s="139"/>
      <c r="C23" s="139"/>
      <c r="D23" s="139"/>
      <c r="E23" s="46"/>
      <c r="F23" s="46"/>
      <c r="G23" s="46"/>
    </row>
    <row r="24" spans="1:7" x14ac:dyDescent="0.25">
      <c r="A24" s="48"/>
      <c r="B24" s="134"/>
      <c r="C24" s="48"/>
      <c r="D24" s="48"/>
      <c r="E24" s="48"/>
      <c r="F24" s="134"/>
      <c r="G24" s="48" t="s">
        <v>5</v>
      </c>
    </row>
    <row r="25" spans="1:7" x14ac:dyDescent="0.25">
      <c r="A25" s="159" t="s">
        <v>20</v>
      </c>
      <c r="B25" s="136"/>
      <c r="C25" s="165"/>
      <c r="D25" s="159"/>
      <c r="E25" s="104"/>
      <c r="F25" s="105"/>
      <c r="G25" s="107" t="e">
        <v>#REF!</v>
      </c>
    </row>
    <row r="26" spans="1:7" x14ac:dyDescent="0.25">
      <c r="A26" s="212" t="s">
        <v>175</v>
      </c>
      <c r="B26" s="214"/>
      <c r="C26" s="165"/>
      <c r="D26" s="159"/>
      <c r="E26" s="104"/>
      <c r="F26" s="105"/>
      <c r="G26" s="107" t="e">
        <v>#REF!</v>
      </c>
    </row>
    <row r="27" spans="1:7" x14ac:dyDescent="0.25">
      <c r="A27" s="159" t="s">
        <v>0</v>
      </c>
      <c r="B27" s="136"/>
      <c r="C27" s="159" t="s">
        <v>195</v>
      </c>
      <c r="D27" s="159"/>
      <c r="E27" s="108"/>
      <c r="F27" s="105"/>
      <c r="G27" s="107" t="e">
        <v>#REF!</v>
      </c>
    </row>
    <row r="28" spans="1:7" x14ac:dyDescent="0.25">
      <c r="A28" s="159" t="s">
        <v>1</v>
      </c>
      <c r="B28" s="136"/>
      <c r="C28" s="159" t="s">
        <v>195</v>
      </c>
      <c r="D28" s="159"/>
      <c r="E28" s="108"/>
      <c r="F28" s="105"/>
      <c r="G28" s="107" t="e">
        <v>#REF!</v>
      </c>
    </row>
    <row r="29" spans="1:7" x14ac:dyDescent="0.25">
      <c r="A29" s="159" t="s">
        <v>2</v>
      </c>
      <c r="B29" s="136"/>
      <c r="C29" s="159" t="s">
        <v>195</v>
      </c>
      <c r="D29" s="159"/>
      <c r="E29" s="108"/>
      <c r="F29" s="105"/>
      <c r="G29" s="107" t="e">
        <v>#REF!</v>
      </c>
    </row>
    <row r="30" spans="1:7" x14ac:dyDescent="0.25">
      <c r="A30" s="99" t="s">
        <v>23</v>
      </c>
      <c r="B30" s="142"/>
      <c r="C30" s="99"/>
      <c r="D30" s="99"/>
      <c r="E30" s="51"/>
      <c r="F30" s="52"/>
      <c r="G30" s="95" t="e">
        <v>#REF!</v>
      </c>
    </row>
    <row r="31" spans="1:7" x14ac:dyDescent="0.25">
      <c r="A31" s="99" t="s">
        <v>25</v>
      </c>
      <c r="B31" s="142"/>
      <c r="C31" s="99"/>
      <c r="D31" s="99"/>
      <c r="E31" s="51"/>
      <c r="F31" s="52"/>
      <c r="G31" s="95" t="e">
        <v>#REF!</v>
      </c>
    </row>
    <row r="32" spans="1:7" x14ac:dyDescent="0.25">
      <c r="A32" s="217" t="s">
        <v>24</v>
      </c>
      <c r="B32" s="218"/>
      <c r="C32" s="155"/>
      <c r="D32" s="155"/>
      <c r="E32" s="54"/>
      <c r="F32" s="55"/>
      <c r="G32" s="96" t="e">
        <v>#REF!</v>
      </c>
    </row>
    <row r="34" spans="1:7" x14ac:dyDescent="0.25">
      <c r="A34" s="143" t="s">
        <v>26</v>
      </c>
      <c r="B34" s="143"/>
      <c r="C34" s="143"/>
      <c r="D34" s="143"/>
      <c r="E34" s="63"/>
      <c r="F34" s="44"/>
      <c r="G34" s="97"/>
    </row>
    <row r="35" spans="1:7" x14ac:dyDescent="0.25">
      <c r="A35" s="146" t="s">
        <v>28</v>
      </c>
      <c r="B35" s="146"/>
      <c r="C35" s="146"/>
      <c r="D35" s="146"/>
      <c r="E35" s="45"/>
      <c r="F35" s="45"/>
      <c r="G35" s="45"/>
    </row>
    <row r="36" spans="1:7" x14ac:dyDescent="0.25">
      <c r="A36" s="229"/>
      <c r="B36" s="230"/>
      <c r="C36" s="65"/>
      <c r="D36" s="65"/>
      <c r="E36" s="65"/>
      <c r="F36" s="164"/>
      <c r="G36" s="65" t="s">
        <v>5</v>
      </c>
    </row>
    <row r="37" spans="1:7" x14ac:dyDescent="0.25">
      <c r="A37" s="158" t="s">
        <v>20</v>
      </c>
      <c r="B37" s="160"/>
      <c r="C37" s="158"/>
      <c r="D37" s="158"/>
      <c r="F37" s="11"/>
      <c r="G37" s="91" t="e">
        <v>#REF!</v>
      </c>
    </row>
    <row r="38" spans="1:7" x14ac:dyDescent="0.25">
      <c r="A38" s="158" t="s">
        <v>175</v>
      </c>
      <c r="B38" s="160"/>
      <c r="C38" s="158"/>
      <c r="D38" s="158"/>
      <c r="F38" s="11"/>
      <c r="G38" s="91" t="e">
        <v>#REF!</v>
      </c>
    </row>
    <row r="39" spans="1:7" x14ac:dyDescent="0.25">
      <c r="A39" s="158" t="s">
        <v>0</v>
      </c>
      <c r="B39" s="160"/>
      <c r="C39" s="158"/>
      <c r="E39" s="179"/>
      <c r="F39" s="7"/>
      <c r="G39" s="91" t="e">
        <v>#REF!</v>
      </c>
    </row>
    <row r="40" spans="1:7" x14ac:dyDescent="0.25">
      <c r="A40" s="158" t="s">
        <v>1</v>
      </c>
      <c r="B40" s="160"/>
      <c r="C40" s="158"/>
      <c r="E40" s="179"/>
      <c r="F40" s="7"/>
      <c r="G40" s="91" t="e">
        <v>#REF!</v>
      </c>
    </row>
    <row r="41" spans="1:7" x14ac:dyDescent="0.25">
      <c r="A41" s="158" t="s">
        <v>68</v>
      </c>
      <c r="B41" s="160"/>
      <c r="C41" s="158"/>
      <c r="E41" s="179"/>
      <c r="F41" s="7"/>
      <c r="G41" s="91" t="e">
        <v>#REF!</v>
      </c>
    </row>
    <row r="42" spans="1:7" x14ac:dyDescent="0.25">
      <c r="A42" s="137" t="s">
        <v>29</v>
      </c>
      <c r="B42" s="138"/>
      <c r="C42" s="137"/>
      <c r="D42" s="137"/>
      <c r="E42" s="60"/>
      <c r="F42" s="62"/>
      <c r="G42" s="87" t="e">
        <v>#REF!</v>
      </c>
    </row>
    <row r="43" spans="1:7" x14ac:dyDescent="0.25">
      <c r="A43" s="137" t="s">
        <v>31</v>
      </c>
      <c r="B43" s="138"/>
      <c r="C43" s="137"/>
      <c r="D43" s="137"/>
      <c r="E43" s="60"/>
      <c r="F43" s="62"/>
      <c r="G43" s="87" t="e">
        <v>#REF!</v>
      </c>
    </row>
    <row r="44" spans="1:7" x14ac:dyDescent="0.25">
      <c r="A44" s="130" t="s">
        <v>30</v>
      </c>
      <c r="B44" s="131"/>
      <c r="C44" s="130" t="s">
        <v>27</v>
      </c>
      <c r="D44" s="130">
        <v>0.56000000000000005</v>
      </c>
      <c r="E44" s="57"/>
      <c r="F44" s="58"/>
      <c r="G44" s="88" t="e">
        <v>#REF!</v>
      </c>
    </row>
    <row r="45" spans="1:7" x14ac:dyDescent="0.25">
      <c r="A45" s="15"/>
      <c r="E45" s="12"/>
      <c r="F45" s="16"/>
      <c r="G45" s="16"/>
    </row>
    <row r="46" spans="1:7" x14ac:dyDescent="0.25">
      <c r="A46" s="75" t="s">
        <v>30</v>
      </c>
      <c r="B46" s="75"/>
      <c r="C46" s="75"/>
      <c r="D46" s="75"/>
      <c r="E46" s="75"/>
      <c r="F46" s="124"/>
      <c r="G46" s="81" t="e">
        <v>#REF!</v>
      </c>
    </row>
    <row r="47" spans="1:7" x14ac:dyDescent="0.25">
      <c r="A47" s="75" t="s">
        <v>24</v>
      </c>
      <c r="B47" s="75"/>
      <c r="C47" s="75"/>
      <c r="D47" s="75"/>
      <c r="E47" s="75"/>
      <c r="F47" s="124"/>
      <c r="G47" s="81" t="e">
        <v>#REF!</v>
      </c>
    </row>
    <row r="48" spans="1:7" x14ac:dyDescent="0.25">
      <c r="A48" s="75" t="s">
        <v>33</v>
      </c>
      <c r="B48" s="75"/>
      <c r="C48" s="75"/>
      <c r="D48" s="75"/>
      <c r="E48" s="75"/>
      <c r="F48" s="124"/>
      <c r="G48" s="81" t="e">
        <v>#REF!</v>
      </c>
    </row>
    <row r="50" spans="1:7" x14ac:dyDescent="0.25">
      <c r="A50" s="125" t="s">
        <v>32</v>
      </c>
      <c r="B50" s="125"/>
      <c r="C50" s="125"/>
      <c r="D50" s="125"/>
      <c r="E50" s="9"/>
      <c r="F50" s="9"/>
      <c r="G50" s="98"/>
    </row>
    <row r="51" spans="1:7" x14ac:dyDescent="0.25">
      <c r="A51" s="126"/>
      <c r="B51" s="126"/>
      <c r="C51" s="126"/>
      <c r="D51" s="126"/>
      <c r="E51" s="19"/>
      <c r="F51" s="19"/>
      <c r="G51" s="19"/>
    </row>
    <row r="52" spans="1:7" x14ac:dyDescent="0.25">
      <c r="A52" s="231"/>
      <c r="B52" s="232"/>
      <c r="C52" s="20"/>
      <c r="D52" s="20"/>
      <c r="E52" s="20"/>
      <c r="F52" s="156"/>
      <c r="G52" s="20" t="s">
        <v>5</v>
      </c>
    </row>
    <row r="53" spans="1:7" x14ac:dyDescent="0.25">
      <c r="A53" s="127" t="s">
        <v>19</v>
      </c>
      <c r="B53" s="128"/>
      <c r="C53" s="127"/>
      <c r="D53" s="127"/>
      <c r="E53" s="14"/>
      <c r="F53" s="17"/>
      <c r="G53" s="32" t="e">
        <v>#REF!</v>
      </c>
    </row>
    <row r="54" spans="1:7" x14ac:dyDescent="0.25">
      <c r="A54" s="127" t="s">
        <v>23</v>
      </c>
      <c r="B54" s="128"/>
      <c r="C54" s="127"/>
      <c r="D54" s="127"/>
      <c r="E54" s="14"/>
      <c r="F54" s="17"/>
      <c r="G54" s="32" t="e">
        <v>#REF!</v>
      </c>
    </row>
    <row r="55" spans="1:7" x14ac:dyDescent="0.25">
      <c r="A55" s="127" t="s">
        <v>20</v>
      </c>
      <c r="B55" s="128"/>
      <c r="C55" s="127"/>
      <c r="D55" s="127"/>
      <c r="E55" s="14"/>
      <c r="F55" s="17"/>
      <c r="G55" s="32" t="e">
        <v>#REF!</v>
      </c>
    </row>
    <row r="56" spans="1:7" x14ac:dyDescent="0.25">
      <c r="A56" s="127" t="s">
        <v>24</v>
      </c>
      <c r="B56" s="128"/>
      <c r="C56" s="127"/>
      <c r="D56" s="127"/>
      <c r="E56" s="14"/>
      <c r="F56" s="17"/>
      <c r="G56" s="32" t="e">
        <v>#REF!</v>
      </c>
    </row>
    <row r="57" spans="1:7" x14ac:dyDescent="0.25">
      <c r="A57" s="127" t="s">
        <v>31</v>
      </c>
      <c r="B57" s="128"/>
      <c r="C57" s="127"/>
      <c r="D57" s="127"/>
      <c r="E57" s="14"/>
      <c r="F57" s="17"/>
      <c r="G57" s="32" t="e">
        <v>#REF!</v>
      </c>
    </row>
    <row r="58" spans="1:7" x14ac:dyDescent="0.25">
      <c r="A58" s="127" t="s">
        <v>30</v>
      </c>
      <c r="B58" s="128"/>
      <c r="C58" s="127" t="s">
        <v>27</v>
      </c>
      <c r="D58" s="127">
        <v>0.56000000000000005</v>
      </c>
      <c r="E58" s="14"/>
      <c r="F58" s="17"/>
      <c r="G58" s="32" t="e">
        <v>#REF!</v>
      </c>
    </row>
    <row r="59" spans="1:7" x14ac:dyDescent="0.25">
      <c r="A59" s="127" t="s">
        <v>34</v>
      </c>
      <c r="B59" s="128"/>
      <c r="C59" s="127"/>
      <c r="D59" s="127"/>
      <c r="E59" s="14"/>
      <c r="F59" s="17"/>
      <c r="G59" s="32" t="e">
        <v>#REF!</v>
      </c>
    </row>
    <row r="61" spans="1:7" x14ac:dyDescent="0.25">
      <c r="A61" s="233"/>
      <c r="B61" s="234"/>
      <c r="C61" s="234"/>
      <c r="D61" s="234"/>
      <c r="E61" s="234"/>
      <c r="F61" s="234"/>
      <c r="G61" s="234"/>
    </row>
    <row r="62" spans="1:7" x14ac:dyDescent="0.25">
      <c r="A62" s="234"/>
      <c r="B62" s="234"/>
      <c r="C62" s="234"/>
      <c r="D62" s="234"/>
      <c r="E62" s="234"/>
      <c r="F62" s="234"/>
      <c r="G62" s="234"/>
    </row>
    <row r="63" spans="1:7" x14ac:dyDescent="0.25">
      <c r="A63" s="234"/>
      <c r="B63" s="234"/>
      <c r="C63" s="234"/>
      <c r="D63" s="234"/>
      <c r="E63" s="234"/>
      <c r="F63" s="234"/>
      <c r="G63" s="234"/>
    </row>
    <row r="64" spans="1:7" x14ac:dyDescent="0.25">
      <c r="A64" s="234"/>
      <c r="B64" s="234"/>
      <c r="C64" s="234"/>
      <c r="D64" s="234"/>
      <c r="E64" s="234"/>
      <c r="F64" s="234"/>
      <c r="G64" s="234"/>
    </row>
    <row r="65" spans="1:7" x14ac:dyDescent="0.25">
      <c r="A65" s="234"/>
      <c r="B65" s="234"/>
      <c r="C65" s="234"/>
      <c r="D65" s="234"/>
      <c r="E65" s="234"/>
      <c r="F65" s="234"/>
      <c r="G65" s="234"/>
    </row>
    <row r="66" spans="1:7" x14ac:dyDescent="0.25">
      <c r="A66" s="234"/>
      <c r="B66" s="234"/>
      <c r="C66" s="234"/>
      <c r="D66" s="234"/>
      <c r="E66" s="234"/>
      <c r="F66" s="234"/>
      <c r="G66" s="234"/>
    </row>
    <row r="67" spans="1:7" x14ac:dyDescent="0.25">
      <c r="A67" s="234"/>
      <c r="B67" s="234"/>
      <c r="C67" s="234"/>
      <c r="D67" s="234"/>
      <c r="E67" s="234"/>
      <c r="F67" s="234"/>
      <c r="G67" s="234"/>
    </row>
    <row r="68" spans="1:7" x14ac:dyDescent="0.25">
      <c r="A68" s="234"/>
      <c r="B68" s="234"/>
      <c r="C68" s="234"/>
      <c r="D68" s="234"/>
      <c r="E68" s="234"/>
      <c r="F68" s="234"/>
      <c r="G68" s="234"/>
    </row>
    <row r="69" spans="1:7" x14ac:dyDescent="0.25">
      <c r="A69" s="234"/>
      <c r="B69" s="234"/>
      <c r="C69" s="234"/>
      <c r="D69" s="234"/>
      <c r="E69" s="234"/>
      <c r="F69" s="234"/>
      <c r="G69" s="234"/>
    </row>
    <row r="70" spans="1:7" x14ac:dyDescent="0.25">
      <c r="A70" s="234"/>
      <c r="B70" s="234"/>
      <c r="C70" s="234"/>
      <c r="D70" s="234"/>
      <c r="E70" s="234"/>
      <c r="F70" s="234"/>
      <c r="G70" s="234"/>
    </row>
    <row r="71" spans="1:7" x14ac:dyDescent="0.25">
      <c r="G71" s="122"/>
    </row>
    <row r="72" spans="1:7" x14ac:dyDescent="0.25">
      <c r="G72" s="122"/>
    </row>
    <row r="73" spans="1:7" x14ac:dyDescent="0.25">
      <c r="A73" s="224"/>
      <c r="B73" s="225"/>
      <c r="C73" s="225"/>
      <c r="D73" s="225"/>
      <c r="E73" s="225"/>
      <c r="F73" s="225"/>
      <c r="G73" s="225"/>
    </row>
    <row r="74" spans="1:7" x14ac:dyDescent="0.25">
      <c r="A74" s="225"/>
      <c r="B74" s="225"/>
      <c r="C74" s="225"/>
      <c r="D74" s="225"/>
      <c r="E74" s="225"/>
      <c r="F74" s="225"/>
      <c r="G74" s="225"/>
    </row>
    <row r="75" spans="1:7" x14ac:dyDescent="0.25">
      <c r="A75" s="225"/>
      <c r="B75" s="225"/>
      <c r="C75" s="225"/>
      <c r="D75" s="225"/>
      <c r="E75" s="225"/>
      <c r="F75" s="225"/>
      <c r="G75" s="225"/>
    </row>
    <row r="77" spans="1:7" ht="17.25" x14ac:dyDescent="0.4">
      <c r="B77" s="226"/>
      <c r="C77" s="226"/>
      <c r="D77" s="226"/>
      <c r="E77" s="226"/>
      <c r="F77" s="226"/>
    </row>
    <row r="80" spans="1:7" ht="17.25" x14ac:dyDescent="0.4">
      <c r="B80" s="226"/>
      <c r="C80" s="226"/>
      <c r="D80" s="226"/>
      <c r="E80" s="226"/>
      <c r="F80" s="226"/>
    </row>
    <row r="107" spans="1:1" x14ac:dyDescent="0.25">
      <c r="A107" t="s">
        <v>51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17</v>
      </c>
    </row>
    <row r="113" spans="1:1" x14ac:dyDescent="0.25">
      <c r="A113" t="s">
        <v>15</v>
      </c>
    </row>
    <row r="114" spans="1:1" x14ac:dyDescent="0.25">
      <c r="A114" t="s">
        <v>153</v>
      </c>
    </row>
    <row r="115" spans="1:1" x14ac:dyDescent="0.25">
      <c r="A115" t="s">
        <v>154</v>
      </c>
    </row>
    <row r="116" spans="1:1" x14ac:dyDescent="0.25">
      <c r="A116" t="s">
        <v>155</v>
      </c>
    </row>
  </sheetData>
  <mergeCells count="9">
    <mergeCell ref="A73:G75"/>
    <mergeCell ref="B77:F77"/>
    <mergeCell ref="B80:F80"/>
    <mergeCell ref="A20:B20"/>
    <mergeCell ref="A26:B26"/>
    <mergeCell ref="A32:B32"/>
    <mergeCell ref="A36:B36"/>
    <mergeCell ref="A52:B52"/>
    <mergeCell ref="A61:G70"/>
  </mergeCells>
  <pageMargins left="0.7" right="0.7" top="0.75" bottom="0.75" header="0.3" footer="0.3"/>
  <pageSetup scale="8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93"/>
  <sheetViews>
    <sheetView workbookViewId="0">
      <selection activeCell="C91" sqref="C91"/>
    </sheetView>
  </sheetViews>
  <sheetFormatPr defaultColWidth="8.85546875" defaultRowHeight="15" x14ac:dyDescent="0.25"/>
  <cols>
    <col min="1" max="1" width="24" bestFit="1" customWidth="1"/>
    <col min="2" max="2" width="15.42578125" bestFit="1" customWidth="1"/>
    <col min="3" max="3" width="9.7109375" bestFit="1" customWidth="1"/>
    <col min="4" max="4" width="10.7109375" bestFit="1" customWidth="1"/>
    <col min="5" max="5" width="10.42578125" bestFit="1" customWidth="1"/>
    <col min="6" max="6" width="11.42578125" bestFit="1" customWidth="1"/>
    <col min="7" max="13" width="12.42578125" bestFit="1" customWidth="1"/>
    <col min="14" max="14" width="14.28515625" bestFit="1" customWidth="1"/>
  </cols>
  <sheetData>
    <row r="1" spans="1:14" x14ac:dyDescent="0.25">
      <c r="A1" s="24" t="s">
        <v>117</v>
      </c>
      <c r="B1" s="22" t="str">
        <f>IF(ISBLANK('Input Sheet'!B3),"",'Input Sheet'!B3)</f>
        <v/>
      </c>
    </row>
    <row r="2" spans="1:14" x14ac:dyDescent="0.25">
      <c r="A2" s="24" t="s">
        <v>116</v>
      </c>
      <c r="B2" s="22" t="str">
        <f>IF(ISBLANK('Input Sheet'!B2),"",'Input Sheet'!B2)</f>
        <v>Select</v>
      </c>
    </row>
    <row r="3" spans="1:14" x14ac:dyDescent="0.25">
      <c r="A3" s="24" t="s">
        <v>118</v>
      </c>
      <c r="B3" s="22" t="str">
        <f>IF(ISBLANK('Input Sheet'!B4),"",'Input Sheet'!B4)</f>
        <v/>
      </c>
    </row>
    <row r="4" spans="1:14" x14ac:dyDescent="0.25">
      <c r="A4" s="24" t="s">
        <v>196</v>
      </c>
      <c r="B4" s="166" t="str">
        <f>IF(ISBLANK('Input Sheet'!F4),"",'Input Sheet'!F4)</f>
        <v/>
      </c>
      <c r="G4" s="21" t="s">
        <v>3</v>
      </c>
      <c r="H4" s="21" t="s">
        <v>4</v>
      </c>
      <c r="I4" s="21" t="s">
        <v>147</v>
      </c>
      <c r="J4" s="21" t="s">
        <v>151</v>
      </c>
      <c r="K4" s="21" t="s">
        <v>152</v>
      </c>
      <c r="L4" s="21" t="s">
        <v>169</v>
      </c>
      <c r="M4" s="21" t="s">
        <v>170</v>
      </c>
      <c r="N4" s="21" t="s">
        <v>5</v>
      </c>
    </row>
    <row r="5" spans="1:14" x14ac:dyDescent="0.25">
      <c r="G5" s="4">
        <v>41000</v>
      </c>
      <c r="H5" s="4">
        <v>41365</v>
      </c>
      <c r="I5" s="4">
        <v>41730</v>
      </c>
      <c r="J5" s="4">
        <v>42095</v>
      </c>
      <c r="K5" s="4">
        <v>42461</v>
      </c>
      <c r="L5" s="4">
        <v>42826</v>
      </c>
      <c r="M5" s="4">
        <v>43191</v>
      </c>
      <c r="N5" s="4">
        <v>41000</v>
      </c>
    </row>
    <row r="6" spans="1:14" x14ac:dyDescent="0.25">
      <c r="G6" s="4">
        <v>41364</v>
      </c>
      <c r="H6" s="4">
        <v>41698</v>
      </c>
      <c r="I6" s="4">
        <v>42063</v>
      </c>
      <c r="J6" s="4">
        <v>42429</v>
      </c>
      <c r="K6" s="4">
        <v>42794</v>
      </c>
      <c r="L6" s="4">
        <v>43159</v>
      </c>
      <c r="M6" s="4">
        <v>43343</v>
      </c>
      <c r="N6" s="4">
        <v>43343</v>
      </c>
    </row>
    <row r="8" spans="1:14" x14ac:dyDescent="0.25">
      <c r="A8" s="34" t="s">
        <v>6</v>
      </c>
      <c r="B8" s="34"/>
      <c r="C8" s="34"/>
      <c r="D8" s="34"/>
      <c r="E8" s="34"/>
      <c r="F8" s="34"/>
      <c r="G8" s="34"/>
      <c r="H8" s="83"/>
      <c r="I8" s="83"/>
      <c r="J8" s="83"/>
      <c r="K8" s="83"/>
      <c r="L8" s="83"/>
      <c r="M8" s="83" t="s">
        <v>141</v>
      </c>
      <c r="N8" s="90">
        <v>1.03</v>
      </c>
    </row>
    <row r="9" spans="1:14" x14ac:dyDescent="0.25">
      <c r="A9" s="35" t="s">
        <v>9</v>
      </c>
      <c r="B9" s="33"/>
      <c r="C9" s="33"/>
      <c r="D9" s="33"/>
      <c r="E9" s="33"/>
      <c r="F9" s="33"/>
      <c r="G9" s="35" t="s">
        <v>143</v>
      </c>
      <c r="H9" s="33"/>
      <c r="I9" s="33"/>
      <c r="J9" s="33"/>
      <c r="K9" s="33"/>
      <c r="L9" s="33"/>
      <c r="M9" s="33"/>
      <c r="N9" s="33"/>
    </row>
    <row r="10" spans="1:14" x14ac:dyDescent="0.25">
      <c r="A10" s="144" t="s">
        <v>16</v>
      </c>
      <c r="B10" s="145"/>
      <c r="C10" s="144" t="s">
        <v>156</v>
      </c>
      <c r="D10" s="144" t="s">
        <v>165</v>
      </c>
      <c r="E10" s="36" t="s">
        <v>11</v>
      </c>
      <c r="F10" s="37" t="s">
        <v>12</v>
      </c>
      <c r="G10" s="36" t="s">
        <v>3</v>
      </c>
      <c r="H10" s="36" t="s">
        <v>4</v>
      </c>
      <c r="I10" s="36" t="s">
        <v>147</v>
      </c>
      <c r="J10" s="36" t="s">
        <v>151</v>
      </c>
      <c r="K10" s="36" t="s">
        <v>152</v>
      </c>
      <c r="L10" s="36" t="s">
        <v>169</v>
      </c>
      <c r="M10" s="36" t="s">
        <v>170</v>
      </c>
      <c r="N10" s="36" t="s">
        <v>5</v>
      </c>
    </row>
    <row r="11" spans="1:14" x14ac:dyDescent="0.25">
      <c r="A11" s="211" t="s">
        <v>101</v>
      </c>
      <c r="B11" s="211"/>
      <c r="C11" s="148">
        <v>41000</v>
      </c>
      <c r="D11" s="4">
        <v>43434</v>
      </c>
      <c r="E11" s="82">
        <v>1</v>
      </c>
      <c r="F11" s="147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91">
        <v>0</v>
      </c>
    </row>
    <row r="12" spans="1:14" x14ac:dyDescent="0.25">
      <c r="A12" s="211" t="s">
        <v>101</v>
      </c>
      <c r="B12" s="211"/>
      <c r="C12" s="148">
        <v>41000</v>
      </c>
      <c r="D12" s="4">
        <v>43434</v>
      </c>
      <c r="E12" s="82">
        <v>1</v>
      </c>
      <c r="F12" s="147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91">
        <v>0</v>
      </c>
    </row>
    <row r="13" spans="1:14" x14ac:dyDescent="0.25">
      <c r="A13" s="211" t="s">
        <v>154</v>
      </c>
      <c r="B13" s="211"/>
      <c r="C13" s="148">
        <v>41000</v>
      </c>
      <c r="D13" s="4">
        <v>43434</v>
      </c>
      <c r="E13" s="82">
        <v>1</v>
      </c>
      <c r="F13" s="147">
        <v>20250</v>
      </c>
      <c r="G13" s="2">
        <v>20250</v>
      </c>
      <c r="H13" s="2">
        <v>16222.5</v>
      </c>
      <c r="I13" s="2">
        <v>19096.2</v>
      </c>
      <c r="J13" s="2">
        <v>19669.085999999999</v>
      </c>
      <c r="K13" s="2">
        <v>20259.158579999999</v>
      </c>
      <c r="L13" s="2">
        <v>20866.933337399998</v>
      </c>
      <c r="M13" s="2">
        <v>5373.2353343804998</v>
      </c>
      <c r="N13" s="91">
        <v>121737.11325178049</v>
      </c>
    </row>
    <row r="14" spans="1:14" x14ac:dyDescent="0.25">
      <c r="A14" s="211" t="s">
        <v>154</v>
      </c>
      <c r="B14" s="211"/>
      <c r="C14" s="148">
        <v>41000</v>
      </c>
      <c r="D14" s="4">
        <v>43434</v>
      </c>
      <c r="E14" s="82">
        <v>1</v>
      </c>
      <c r="F14" s="147">
        <v>20250</v>
      </c>
      <c r="G14" s="2">
        <v>20250</v>
      </c>
      <c r="H14" s="2">
        <v>16222.5</v>
      </c>
      <c r="I14" s="2">
        <v>19096.2</v>
      </c>
      <c r="J14" s="2">
        <v>19669.085999999999</v>
      </c>
      <c r="K14" s="2">
        <v>20259.158579999999</v>
      </c>
      <c r="L14" s="2">
        <v>20866.933337399998</v>
      </c>
      <c r="M14" s="2">
        <v>5373.2353343804998</v>
      </c>
      <c r="N14" s="91">
        <v>121737.11325178049</v>
      </c>
    </row>
    <row r="15" spans="1:14" x14ac:dyDescent="0.25">
      <c r="A15" s="211" t="s">
        <v>153</v>
      </c>
      <c r="B15" s="211"/>
      <c r="C15" s="148">
        <v>41000</v>
      </c>
      <c r="D15" s="4">
        <v>43434</v>
      </c>
      <c r="E15" s="82">
        <v>1</v>
      </c>
      <c r="F15" s="147">
        <v>6750</v>
      </c>
      <c r="G15" s="2">
        <v>6750</v>
      </c>
      <c r="H15" s="2">
        <v>6952.5</v>
      </c>
      <c r="I15" s="2">
        <v>7161.0749999999998</v>
      </c>
      <c r="J15" s="2">
        <v>7375.9072500000002</v>
      </c>
      <c r="K15" s="2">
        <v>7597.1844674999993</v>
      </c>
      <c r="L15" s="2">
        <v>7825.1000015249992</v>
      </c>
      <c r="M15" s="2">
        <v>8059.8530015707493</v>
      </c>
      <c r="N15" s="91">
        <v>51721.619720595758</v>
      </c>
    </row>
    <row r="16" spans="1:14" x14ac:dyDescent="0.25">
      <c r="A16" s="211" t="s">
        <v>155</v>
      </c>
      <c r="B16" s="211"/>
      <c r="C16" s="148">
        <v>41000</v>
      </c>
      <c r="D16" s="4">
        <v>43434</v>
      </c>
      <c r="E16" s="82">
        <v>1</v>
      </c>
      <c r="F16" s="147">
        <v>38496</v>
      </c>
      <c r="G16" s="2">
        <v>39650.880000000005</v>
      </c>
      <c r="H16" s="2">
        <v>34297.369600000005</v>
      </c>
      <c r="I16" s="2">
        <v>39277.828096000005</v>
      </c>
      <c r="J16" s="2">
        <v>40848.94121984001</v>
      </c>
      <c r="K16" s="2">
        <v>42482.898868633609</v>
      </c>
      <c r="L16" s="2">
        <v>44182.214823378956</v>
      </c>
      <c r="M16" s="2">
        <v>20620.44852958266</v>
      </c>
      <c r="N16" s="91">
        <v>261360.58113743522</v>
      </c>
    </row>
    <row r="17" spans="1:14" x14ac:dyDescent="0.25">
      <c r="A17" s="211" t="s">
        <v>15</v>
      </c>
      <c r="B17" s="211"/>
      <c r="C17" s="148">
        <v>41000</v>
      </c>
      <c r="D17" s="4">
        <v>43434</v>
      </c>
      <c r="E17" s="82">
        <v>0.5</v>
      </c>
      <c r="F17" s="147">
        <v>27000</v>
      </c>
      <c r="G17" s="2">
        <v>13500</v>
      </c>
      <c r="H17" s="2">
        <v>11587.5</v>
      </c>
      <c r="I17" s="2">
        <v>13128.637499999999</v>
      </c>
      <c r="J17" s="2">
        <v>13522.496625</v>
      </c>
      <c r="K17" s="2">
        <v>13928.171523749999</v>
      </c>
      <c r="L17" s="2">
        <v>14346.016669462499</v>
      </c>
      <c r="M17" s="2">
        <v>6716.5441679756241</v>
      </c>
      <c r="N17" s="91">
        <v>86729.366486188112</v>
      </c>
    </row>
    <row r="18" spans="1:14" x14ac:dyDescent="0.25">
      <c r="A18" s="211" t="s">
        <v>7</v>
      </c>
      <c r="B18" s="211"/>
      <c r="C18" s="148">
        <v>41000</v>
      </c>
      <c r="D18" s="4">
        <v>43434</v>
      </c>
      <c r="E18" s="82">
        <v>1</v>
      </c>
      <c r="F18" s="147">
        <v>8147.3533333333335</v>
      </c>
      <c r="G18" s="2">
        <v>8147.3533333333335</v>
      </c>
      <c r="H18" s="2">
        <v>8391.7739333333338</v>
      </c>
      <c r="I18" s="2">
        <v>8643.5271513333337</v>
      </c>
      <c r="J18" s="2">
        <v>8902.8329658733328</v>
      </c>
      <c r="K18" s="2">
        <v>9169.9179548495322</v>
      </c>
      <c r="L18" s="2">
        <v>9445.0154934950187</v>
      </c>
      <c r="M18" s="2">
        <v>9728.3659582998698</v>
      </c>
      <c r="N18" s="91">
        <v>62428.786790517755</v>
      </c>
    </row>
    <row r="19" spans="1:14" x14ac:dyDescent="0.25">
      <c r="A19" s="211" t="s">
        <v>7</v>
      </c>
      <c r="B19" s="211"/>
      <c r="C19" s="148">
        <v>41000</v>
      </c>
      <c r="D19" s="4">
        <v>43434</v>
      </c>
      <c r="E19" s="82">
        <v>1</v>
      </c>
      <c r="F19" s="147">
        <v>8147.3533333333335</v>
      </c>
      <c r="G19" s="2">
        <v>8147.3533333333335</v>
      </c>
      <c r="H19" s="2">
        <v>8391.7739333333338</v>
      </c>
      <c r="I19" s="2">
        <v>8643.5271513333337</v>
      </c>
      <c r="J19" s="2">
        <v>8902.8329658733328</v>
      </c>
      <c r="K19" s="2">
        <v>9169.9179548495322</v>
      </c>
      <c r="L19" s="2">
        <v>9445.0154934950187</v>
      </c>
      <c r="M19" s="2">
        <v>9728.3659582998698</v>
      </c>
      <c r="N19" s="91">
        <v>62428.786790517755</v>
      </c>
    </row>
    <row r="20" spans="1:14" x14ac:dyDescent="0.25">
      <c r="A20" s="140" t="s">
        <v>18</v>
      </c>
      <c r="B20" s="141"/>
      <c r="C20" s="140"/>
      <c r="D20" s="140"/>
      <c r="E20" s="38"/>
      <c r="F20" s="39"/>
      <c r="G20" s="40">
        <v>116695.58666666667</v>
      </c>
      <c r="H20" s="40">
        <v>102065.91746666667</v>
      </c>
      <c r="I20" s="40">
        <v>115046.99489866666</v>
      </c>
      <c r="J20" s="40">
        <v>118891.18302658666</v>
      </c>
      <c r="K20" s="40">
        <v>122866.40792958267</v>
      </c>
      <c r="L20" s="40">
        <v>126977.22915615648</v>
      </c>
      <c r="M20" s="40">
        <v>65600.048284489778</v>
      </c>
      <c r="N20" s="92">
        <v>768143.36742881557</v>
      </c>
    </row>
    <row r="21" spans="1:14" x14ac:dyDescent="0.25">
      <c r="A21" s="35" t="s">
        <v>10</v>
      </c>
      <c r="B21" s="33"/>
      <c r="C21" s="33"/>
      <c r="D21" s="33"/>
      <c r="E21" s="33"/>
      <c r="F21" s="33"/>
      <c r="G21" s="111" t="s">
        <v>143</v>
      </c>
      <c r="H21" s="33"/>
      <c r="I21" s="33"/>
      <c r="J21" s="33"/>
      <c r="K21" s="33"/>
      <c r="L21" s="33"/>
      <c r="M21" s="33"/>
      <c r="N21" s="33"/>
    </row>
    <row r="22" spans="1:14" x14ac:dyDescent="0.25">
      <c r="A22" s="144" t="s">
        <v>16</v>
      </c>
      <c r="B22" s="145"/>
      <c r="C22" s="144"/>
      <c r="D22" s="144"/>
      <c r="E22" s="36" t="s">
        <v>90</v>
      </c>
      <c r="F22" s="37" t="s">
        <v>91</v>
      </c>
      <c r="G22" s="36" t="s">
        <v>3</v>
      </c>
      <c r="H22" s="36" t="s">
        <v>4</v>
      </c>
      <c r="I22" s="36" t="s">
        <v>147</v>
      </c>
      <c r="J22" s="36" t="s">
        <v>151</v>
      </c>
      <c r="K22" s="36" t="s">
        <v>152</v>
      </c>
      <c r="L22" s="36" t="s">
        <v>169</v>
      </c>
      <c r="M22" s="36" t="s">
        <v>170</v>
      </c>
      <c r="N22" s="36" t="s">
        <v>5</v>
      </c>
    </row>
    <row r="23" spans="1:14" x14ac:dyDescent="0.25">
      <c r="A23" s="158" t="s">
        <v>13</v>
      </c>
      <c r="B23" s="160"/>
      <c r="C23" s="158"/>
      <c r="D23" s="158"/>
      <c r="E23" s="6">
        <v>0.17</v>
      </c>
      <c r="F23" s="8">
        <v>0.17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91">
        <v>0</v>
      </c>
    </row>
    <row r="24" spans="1:14" x14ac:dyDescent="0.25">
      <c r="A24" s="158" t="s">
        <v>14</v>
      </c>
      <c r="B24" s="160"/>
      <c r="C24" s="158"/>
      <c r="D24" s="158"/>
      <c r="E24" s="6">
        <v>0.28000000000000003</v>
      </c>
      <c r="F24" s="8">
        <v>0.27900000000000003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91">
        <v>0</v>
      </c>
    </row>
    <row r="25" spans="1:14" x14ac:dyDescent="0.25">
      <c r="A25" s="158" t="s">
        <v>155</v>
      </c>
      <c r="B25" s="160"/>
      <c r="C25" s="158"/>
      <c r="D25" s="158"/>
      <c r="E25" s="6">
        <v>0.17</v>
      </c>
      <c r="F25" s="8">
        <v>0.16300000000000001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91">
        <v>0</v>
      </c>
    </row>
    <row r="26" spans="1:14" x14ac:dyDescent="0.25">
      <c r="A26" s="158" t="s">
        <v>97</v>
      </c>
      <c r="B26" s="160"/>
      <c r="C26" s="158"/>
      <c r="D26" s="158"/>
      <c r="E26" s="6">
        <v>0.09</v>
      </c>
      <c r="F26" s="8">
        <v>9.2999999999999999E-2</v>
      </c>
      <c r="G26" s="3">
        <v>607.5</v>
      </c>
      <c r="H26" s="3">
        <v>621</v>
      </c>
      <c r="I26" s="3">
        <v>418.5</v>
      </c>
      <c r="J26" s="3">
        <v>0</v>
      </c>
      <c r="K26" s="3">
        <v>0</v>
      </c>
      <c r="L26" s="3">
        <v>0</v>
      </c>
      <c r="M26" s="3">
        <v>0</v>
      </c>
      <c r="N26" s="91">
        <v>1647</v>
      </c>
    </row>
    <row r="27" spans="1:14" x14ac:dyDescent="0.25">
      <c r="A27" s="140" t="s">
        <v>140</v>
      </c>
      <c r="B27" s="141"/>
      <c r="C27" s="140"/>
      <c r="D27" s="140"/>
      <c r="E27" s="38"/>
      <c r="F27" s="39"/>
      <c r="G27" s="40">
        <v>607.5</v>
      </c>
      <c r="H27" s="40">
        <v>621</v>
      </c>
      <c r="I27" s="40">
        <v>418.5</v>
      </c>
      <c r="J27" s="40">
        <v>0</v>
      </c>
      <c r="K27" s="40">
        <v>0</v>
      </c>
      <c r="L27" s="40">
        <v>0</v>
      </c>
      <c r="M27" s="40">
        <v>0</v>
      </c>
      <c r="N27" s="92">
        <v>1647</v>
      </c>
    </row>
    <row r="28" spans="1:14" x14ac:dyDescent="0.25">
      <c r="A28" s="227" t="s">
        <v>19</v>
      </c>
      <c r="B28" s="228"/>
      <c r="C28" s="157"/>
      <c r="D28" s="157"/>
      <c r="E28" s="41"/>
      <c r="F28" s="42"/>
      <c r="G28" s="43">
        <v>117303.08666666667</v>
      </c>
      <c r="H28" s="43">
        <v>102686.91746666667</v>
      </c>
      <c r="I28" s="43">
        <v>115465.49489866666</v>
      </c>
      <c r="J28" s="43">
        <v>118891.18302658666</v>
      </c>
      <c r="K28" s="43">
        <v>122866.40792958267</v>
      </c>
      <c r="L28" s="43">
        <v>126977.22915615648</v>
      </c>
      <c r="M28" s="43">
        <v>65600.048284489778</v>
      </c>
      <c r="N28" s="93">
        <v>769790.36742881557</v>
      </c>
    </row>
    <row r="30" spans="1:14" x14ac:dyDescent="0.25">
      <c r="A30" s="135" t="s">
        <v>21</v>
      </c>
      <c r="B30" s="135"/>
      <c r="C30" s="135"/>
      <c r="D30" s="135"/>
      <c r="E30" s="49"/>
      <c r="F30" s="49"/>
      <c r="G30" s="49"/>
      <c r="H30" s="50"/>
      <c r="I30" s="50"/>
      <c r="J30" s="50"/>
      <c r="K30" s="50"/>
      <c r="L30" s="50"/>
      <c r="M30" s="50"/>
      <c r="N30" s="94"/>
    </row>
    <row r="31" spans="1:14" x14ac:dyDescent="0.25">
      <c r="A31" s="139" t="s">
        <v>22</v>
      </c>
      <c r="B31" s="139"/>
      <c r="C31" s="139"/>
      <c r="D31" s="139"/>
      <c r="E31" s="46"/>
      <c r="F31" s="46"/>
      <c r="G31" s="85" t="s">
        <v>143</v>
      </c>
      <c r="H31" s="46"/>
      <c r="I31" s="46"/>
      <c r="J31" s="46"/>
      <c r="K31" s="46"/>
      <c r="L31" s="46"/>
      <c r="M31" s="46"/>
      <c r="N31" s="46"/>
    </row>
    <row r="32" spans="1:14" x14ac:dyDescent="0.25">
      <c r="A32" s="48"/>
      <c r="B32" s="134"/>
      <c r="C32" s="48"/>
      <c r="D32" s="48"/>
      <c r="E32" s="48"/>
      <c r="F32" s="134"/>
      <c r="G32" s="48" t="s">
        <v>3</v>
      </c>
      <c r="H32" s="48" t="s">
        <v>4</v>
      </c>
      <c r="I32" s="48" t="s">
        <v>147</v>
      </c>
      <c r="J32" s="48" t="s">
        <v>151</v>
      </c>
      <c r="K32" s="48" t="s">
        <v>152</v>
      </c>
      <c r="L32" s="48" t="s">
        <v>169</v>
      </c>
      <c r="M32" s="48" t="s">
        <v>170</v>
      </c>
      <c r="N32" s="48" t="s">
        <v>5</v>
      </c>
    </row>
    <row r="33" spans="1:14" x14ac:dyDescent="0.25">
      <c r="A33" s="211" t="s">
        <v>176</v>
      </c>
      <c r="B33" s="214"/>
      <c r="C33" s="158"/>
      <c r="D33" s="158"/>
      <c r="F33" s="11"/>
      <c r="G33" s="31">
        <v>1</v>
      </c>
      <c r="H33" s="31">
        <v>1</v>
      </c>
      <c r="I33" s="31">
        <v>2</v>
      </c>
      <c r="J33" s="31">
        <v>2</v>
      </c>
      <c r="K33" s="31">
        <v>3</v>
      </c>
      <c r="L33" s="31"/>
      <c r="M33" s="31"/>
      <c r="N33" s="91">
        <v>9</v>
      </c>
    </row>
    <row r="34" spans="1:14" x14ac:dyDescent="0.25">
      <c r="A34" s="211" t="s">
        <v>142</v>
      </c>
      <c r="B34" s="214"/>
      <c r="C34" s="158"/>
      <c r="D34" s="158"/>
      <c r="F34" s="11"/>
      <c r="G34" s="31">
        <v>4</v>
      </c>
      <c r="H34" s="31">
        <v>5</v>
      </c>
      <c r="I34" s="31">
        <v>4</v>
      </c>
      <c r="J34" s="31">
        <v>34</v>
      </c>
      <c r="K34" s="31">
        <v>3</v>
      </c>
      <c r="L34" s="31"/>
      <c r="M34" s="31"/>
      <c r="N34" s="91">
        <v>50</v>
      </c>
    </row>
    <row r="35" spans="1:14" x14ac:dyDescent="0.25">
      <c r="A35" s="211" t="s">
        <v>182</v>
      </c>
      <c r="B35" s="214"/>
      <c r="C35" s="158"/>
      <c r="D35" s="158"/>
      <c r="F35" s="11"/>
      <c r="G35" s="31">
        <v>1</v>
      </c>
      <c r="H35" s="31">
        <v>2</v>
      </c>
      <c r="I35" s="31">
        <v>3</v>
      </c>
      <c r="J35" s="31">
        <v>4</v>
      </c>
      <c r="K35" s="31">
        <v>5</v>
      </c>
      <c r="L35" s="31"/>
      <c r="M35" s="31"/>
      <c r="N35" s="91">
        <v>15</v>
      </c>
    </row>
    <row r="36" spans="1:14" x14ac:dyDescent="0.25">
      <c r="A36" s="211" t="s">
        <v>181</v>
      </c>
      <c r="B36" s="214"/>
      <c r="C36" s="158"/>
      <c r="D36" s="158"/>
      <c r="F36" s="11"/>
      <c r="G36" s="31">
        <v>5</v>
      </c>
      <c r="H36" s="31">
        <v>3</v>
      </c>
      <c r="I36" s="31">
        <v>5</v>
      </c>
      <c r="J36" s="31">
        <v>6</v>
      </c>
      <c r="K36" s="31">
        <v>7</v>
      </c>
      <c r="L36" s="31"/>
      <c r="M36" s="31"/>
      <c r="N36" s="91">
        <v>26</v>
      </c>
    </row>
    <row r="37" spans="1:14" x14ac:dyDescent="0.25">
      <c r="A37" s="159" t="s">
        <v>20</v>
      </c>
      <c r="B37" s="136"/>
      <c r="C37" s="159"/>
      <c r="D37" s="159"/>
      <c r="E37" s="104"/>
      <c r="F37" s="105"/>
      <c r="G37" s="106">
        <v>3</v>
      </c>
      <c r="H37" s="106">
        <v>3</v>
      </c>
      <c r="I37" s="106">
        <v>3</v>
      </c>
      <c r="J37" s="106">
        <v>3</v>
      </c>
      <c r="K37" s="106">
        <v>3</v>
      </c>
      <c r="L37" s="106">
        <v>0</v>
      </c>
      <c r="M37" s="106">
        <v>0</v>
      </c>
      <c r="N37" s="107">
        <v>15</v>
      </c>
    </row>
    <row r="38" spans="1:14" x14ac:dyDescent="0.25">
      <c r="A38" s="212" t="s">
        <v>175</v>
      </c>
      <c r="B38" s="214"/>
      <c r="C38" s="165" t="str">
        <f>IF('Input Sheet'!G30=0,"",'Input Sheet'!G30)</f>
        <v/>
      </c>
      <c r="D38" s="159"/>
      <c r="E38" s="159"/>
      <c r="F38" s="136"/>
      <c r="G38" s="106">
        <v>1</v>
      </c>
      <c r="H38" s="106">
        <v>1</v>
      </c>
      <c r="I38" s="106">
        <v>1</v>
      </c>
      <c r="J38" s="106">
        <v>1</v>
      </c>
      <c r="K38" s="106">
        <v>1</v>
      </c>
      <c r="L38" s="106">
        <v>0</v>
      </c>
      <c r="M38" s="106">
        <v>0</v>
      </c>
      <c r="N38" s="107">
        <v>5</v>
      </c>
    </row>
    <row r="39" spans="1:14" x14ac:dyDescent="0.25">
      <c r="A39" s="212" t="s">
        <v>175</v>
      </c>
      <c r="B39" s="214"/>
      <c r="C39" s="165" t="str">
        <f>IF('Input Sheet'!G31=0,"",'Input Sheet'!G31)</f>
        <v/>
      </c>
      <c r="D39" s="159"/>
      <c r="E39" s="159"/>
      <c r="F39" s="136"/>
      <c r="G39" s="106">
        <v>2</v>
      </c>
      <c r="H39" s="106">
        <v>3</v>
      </c>
      <c r="I39" s="106">
        <v>4</v>
      </c>
      <c r="J39" s="106">
        <v>5</v>
      </c>
      <c r="K39" s="106">
        <v>6</v>
      </c>
      <c r="L39" s="106">
        <v>0</v>
      </c>
      <c r="M39" s="106">
        <v>0</v>
      </c>
      <c r="N39" s="107">
        <v>20</v>
      </c>
    </row>
    <row r="40" spans="1:14" x14ac:dyDescent="0.25">
      <c r="A40" s="159" t="s">
        <v>0</v>
      </c>
      <c r="B40" s="136"/>
      <c r="C40" s="159" t="s">
        <v>195</v>
      </c>
      <c r="D40" s="159"/>
      <c r="E40" s="108"/>
      <c r="F40" s="105"/>
      <c r="G40" s="106">
        <v>11471.936000000002</v>
      </c>
      <c r="H40" s="106">
        <v>9256.6656000000003</v>
      </c>
      <c r="I40" s="106">
        <v>11017.489100799998</v>
      </c>
      <c r="J40" s="106">
        <v>11458.188664832003</v>
      </c>
      <c r="K40" s="106">
        <v>11916.516211425282</v>
      </c>
      <c r="L40" s="106">
        <v>12393.176859882293</v>
      </c>
      <c r="M40" s="106">
        <v>3128.3747413295105</v>
      </c>
      <c r="N40" s="107">
        <v>55120.795577057281</v>
      </c>
    </row>
    <row r="41" spans="1:14" x14ac:dyDescent="0.25">
      <c r="A41" s="159" t="s">
        <v>1</v>
      </c>
      <c r="B41" s="136"/>
      <c r="C41" s="159" t="s">
        <v>195</v>
      </c>
      <c r="D41" s="159"/>
      <c r="E41" s="108"/>
      <c r="F41" s="105"/>
      <c r="G41" s="106">
        <v>5720.36</v>
      </c>
      <c r="H41" s="106">
        <v>5017.3759999999993</v>
      </c>
      <c r="I41" s="106">
        <v>5702.6062079999992</v>
      </c>
      <c r="J41" s="106">
        <v>5930.7104563199982</v>
      </c>
      <c r="K41" s="106">
        <v>6167.9388745728002</v>
      </c>
      <c r="L41" s="106">
        <v>6414.6564295557109</v>
      </c>
      <c r="M41" s="106">
        <v>3270.2170033029124</v>
      </c>
      <c r="N41" s="107">
        <v>28538.991538892795</v>
      </c>
    </row>
    <row r="42" spans="1:14" x14ac:dyDescent="0.25">
      <c r="A42" s="159" t="s">
        <v>2</v>
      </c>
      <c r="B42" s="136"/>
      <c r="C42" s="159" t="s">
        <v>195</v>
      </c>
      <c r="D42" s="159"/>
      <c r="E42" s="108"/>
      <c r="F42" s="105"/>
      <c r="G42" s="106">
        <v>2066.3466666666673</v>
      </c>
      <c r="H42" s="106">
        <v>1667.3280000000002</v>
      </c>
      <c r="I42" s="106">
        <v>1984.490837333333</v>
      </c>
      <c r="J42" s="106">
        <v>2063.8704708266664</v>
      </c>
      <c r="K42" s="106">
        <v>2146.4252896597332</v>
      </c>
      <c r="L42" s="106">
        <v>2232.2823012461231</v>
      </c>
      <c r="M42" s="106">
        <v>563.48873623688542</v>
      </c>
      <c r="N42" s="107">
        <v>9928.461264486401</v>
      </c>
    </row>
    <row r="43" spans="1:14" x14ac:dyDescent="0.25">
      <c r="A43" s="238" t="s">
        <v>23</v>
      </c>
      <c r="B43" s="239"/>
      <c r="C43" s="99"/>
      <c r="D43" s="99"/>
      <c r="E43" s="51"/>
      <c r="F43" s="52"/>
      <c r="G43" s="53">
        <v>11</v>
      </c>
      <c r="H43" s="53">
        <v>11</v>
      </c>
      <c r="I43" s="53">
        <v>14</v>
      </c>
      <c r="J43" s="53">
        <v>46</v>
      </c>
      <c r="K43" s="53">
        <v>18</v>
      </c>
      <c r="L43" s="53">
        <v>0</v>
      </c>
      <c r="M43" s="53">
        <v>0</v>
      </c>
      <c r="N43" s="95">
        <v>100</v>
      </c>
    </row>
    <row r="44" spans="1:14" x14ac:dyDescent="0.25">
      <c r="A44" s="238" t="s">
        <v>25</v>
      </c>
      <c r="B44" s="239"/>
      <c r="C44" s="99"/>
      <c r="D44" s="99"/>
      <c r="E44" s="51"/>
      <c r="F44" s="52"/>
      <c r="G44" s="53">
        <v>19264.64266666667</v>
      </c>
      <c r="H44" s="53">
        <v>15948.3696</v>
      </c>
      <c r="I44" s="53">
        <v>18712.58614613333</v>
      </c>
      <c r="J44" s="53">
        <v>19461.769591978667</v>
      </c>
      <c r="K44" s="53">
        <v>20240.880375657813</v>
      </c>
      <c r="L44" s="53">
        <v>21040.115590684127</v>
      </c>
      <c r="M44" s="53">
        <v>6962.0804808693083</v>
      </c>
      <c r="N44" s="95">
        <v>93628.248380436475</v>
      </c>
    </row>
    <row r="45" spans="1:14" x14ac:dyDescent="0.25">
      <c r="A45" s="217" t="s">
        <v>24</v>
      </c>
      <c r="B45" s="218"/>
      <c r="C45" s="155"/>
      <c r="D45" s="155"/>
      <c r="E45" s="54"/>
      <c r="F45" s="55"/>
      <c r="G45" s="56">
        <v>136578.72933333335</v>
      </c>
      <c r="H45" s="56">
        <v>118646.28706666667</v>
      </c>
      <c r="I45" s="56">
        <v>134192.0810448</v>
      </c>
      <c r="J45" s="56">
        <v>138398.95261856532</v>
      </c>
      <c r="K45" s="56">
        <v>143125.28830524048</v>
      </c>
      <c r="L45" s="56">
        <v>148017.34474684059</v>
      </c>
      <c r="M45" s="56">
        <v>72562.128765359084</v>
      </c>
      <c r="N45" s="96">
        <v>670941.33836860582</v>
      </c>
    </row>
    <row r="47" spans="1:14" x14ac:dyDescent="0.25">
      <c r="A47" s="143" t="s">
        <v>26</v>
      </c>
      <c r="B47" s="143"/>
      <c r="C47" s="143"/>
      <c r="D47" s="143"/>
      <c r="E47" s="63"/>
      <c r="F47" s="44"/>
      <c r="G47" s="63"/>
      <c r="H47" s="64"/>
      <c r="I47" s="64"/>
      <c r="J47" s="64"/>
      <c r="K47" s="64"/>
      <c r="L47" s="64"/>
      <c r="M47" s="64"/>
      <c r="N47" s="97"/>
    </row>
    <row r="48" spans="1:14" x14ac:dyDescent="0.25">
      <c r="A48" s="146" t="s">
        <v>28</v>
      </c>
      <c r="B48" s="146"/>
      <c r="C48" s="146"/>
      <c r="D48" s="146"/>
      <c r="E48" s="45"/>
      <c r="F48" s="45"/>
      <c r="G48" s="89" t="s">
        <v>143</v>
      </c>
      <c r="H48" s="45"/>
      <c r="I48" s="45"/>
      <c r="J48" s="45"/>
      <c r="K48" s="45"/>
      <c r="L48" s="45"/>
      <c r="M48" s="45"/>
      <c r="N48" s="45"/>
    </row>
    <row r="49" spans="1:14" x14ac:dyDescent="0.25">
      <c r="A49" s="229"/>
      <c r="B49" s="230"/>
      <c r="C49" s="65"/>
      <c r="D49" s="65"/>
      <c r="E49" s="65" t="s">
        <v>149</v>
      </c>
      <c r="F49" s="164" t="s">
        <v>150</v>
      </c>
      <c r="G49" s="65" t="s">
        <v>3</v>
      </c>
      <c r="H49" s="65" t="s">
        <v>4</v>
      </c>
      <c r="I49" s="65" t="s">
        <v>147</v>
      </c>
      <c r="J49" s="65" t="s">
        <v>151</v>
      </c>
      <c r="K49" s="65" t="s">
        <v>152</v>
      </c>
      <c r="L49" s="65" t="s">
        <v>169</v>
      </c>
      <c r="M49" s="65" t="s">
        <v>170</v>
      </c>
      <c r="N49" s="65" t="s">
        <v>5</v>
      </c>
    </row>
    <row r="50" spans="1:14" x14ac:dyDescent="0.25">
      <c r="A50" s="158" t="s">
        <v>20</v>
      </c>
      <c r="B50" s="160"/>
      <c r="C50" s="158"/>
      <c r="D50" s="158"/>
      <c r="F50" s="11"/>
      <c r="G50" s="2">
        <v>3</v>
      </c>
      <c r="H50" s="2">
        <v>3</v>
      </c>
      <c r="I50" s="2">
        <v>3</v>
      </c>
      <c r="J50" s="2">
        <v>3</v>
      </c>
      <c r="K50" s="2">
        <v>3</v>
      </c>
      <c r="L50" s="2">
        <v>0</v>
      </c>
      <c r="M50" s="2">
        <v>0</v>
      </c>
      <c r="N50" s="91">
        <v>15</v>
      </c>
    </row>
    <row r="51" spans="1:14" x14ac:dyDescent="0.25">
      <c r="A51" s="158" t="s">
        <v>175</v>
      </c>
      <c r="B51" s="160"/>
      <c r="C51" s="158"/>
      <c r="D51" s="158"/>
      <c r="F51" s="11"/>
      <c r="G51" s="2">
        <v>3</v>
      </c>
      <c r="H51" s="2">
        <v>4</v>
      </c>
      <c r="I51" s="2">
        <v>5</v>
      </c>
      <c r="J51" s="2">
        <v>6</v>
      </c>
      <c r="K51" s="2">
        <v>7</v>
      </c>
      <c r="L51" s="2">
        <v>0</v>
      </c>
      <c r="M51" s="2">
        <v>0</v>
      </c>
      <c r="N51" s="91">
        <v>25</v>
      </c>
    </row>
    <row r="52" spans="1:14" x14ac:dyDescent="0.25">
      <c r="A52" s="158" t="s">
        <v>0</v>
      </c>
      <c r="B52" s="160"/>
      <c r="C52" s="158"/>
      <c r="D52" s="158"/>
      <c r="E52" s="2">
        <v>3708.6</v>
      </c>
      <c r="F52" s="7">
        <v>3856.944</v>
      </c>
      <c r="G52" s="3">
        <v>11471.936000000002</v>
      </c>
      <c r="H52" s="3">
        <v>9256.6656000000003</v>
      </c>
      <c r="I52" s="3">
        <v>11017.489100799998</v>
      </c>
      <c r="J52" s="3">
        <v>11458.188664832003</v>
      </c>
      <c r="K52" s="3">
        <v>11916.516211425282</v>
      </c>
      <c r="L52" s="3">
        <v>12393.176859882293</v>
      </c>
      <c r="M52" s="3">
        <v>3128.3747413295105</v>
      </c>
      <c r="N52" s="91">
        <v>70642.347178269076</v>
      </c>
    </row>
    <row r="53" spans="1:14" x14ac:dyDescent="0.25">
      <c r="A53" s="158" t="s">
        <v>1</v>
      </c>
      <c r="B53" s="160"/>
      <c r="C53" s="158"/>
      <c r="D53" s="158"/>
      <c r="E53" s="2">
        <v>1723</v>
      </c>
      <c r="F53" s="7">
        <v>1791.92</v>
      </c>
      <c r="G53" s="3">
        <v>5720.36</v>
      </c>
      <c r="H53" s="3">
        <v>5017.3759999999993</v>
      </c>
      <c r="I53" s="3">
        <v>5702.6062079999992</v>
      </c>
      <c r="J53" s="3">
        <v>5930.7104563199982</v>
      </c>
      <c r="K53" s="3">
        <v>6167.9388745728002</v>
      </c>
      <c r="L53" s="3">
        <v>6414.6564295557109</v>
      </c>
      <c r="M53" s="3">
        <v>3270.2170033029124</v>
      </c>
      <c r="N53" s="91">
        <v>38223.86497175142</v>
      </c>
    </row>
    <row r="54" spans="1:14" x14ac:dyDescent="0.25">
      <c r="A54" s="158" t="s">
        <v>2</v>
      </c>
      <c r="B54" s="160"/>
      <c r="C54" s="158"/>
      <c r="D54" s="158"/>
      <c r="E54" s="2">
        <v>668</v>
      </c>
      <c r="F54" s="7">
        <v>694.72</v>
      </c>
      <c r="G54" s="3">
        <v>2066.3466666666673</v>
      </c>
      <c r="H54" s="3">
        <v>1667.3280000000002</v>
      </c>
      <c r="I54" s="3">
        <v>1984.490837333333</v>
      </c>
      <c r="J54" s="3">
        <v>2063.8704708266664</v>
      </c>
      <c r="K54" s="3">
        <v>2146.4252896597332</v>
      </c>
      <c r="L54" s="3">
        <v>2232.2823012461231</v>
      </c>
      <c r="M54" s="3">
        <v>563.48873623688542</v>
      </c>
      <c r="N54" s="91">
        <v>12724.232301969409</v>
      </c>
    </row>
    <row r="55" spans="1:14" x14ac:dyDescent="0.25">
      <c r="A55" s="137" t="s">
        <v>29</v>
      </c>
      <c r="B55" s="138"/>
      <c r="C55" s="137"/>
      <c r="D55" s="137"/>
      <c r="E55" s="60"/>
      <c r="F55" s="62"/>
      <c r="G55" s="61">
        <v>19264.64266666667</v>
      </c>
      <c r="H55" s="61">
        <v>15948.3696</v>
      </c>
      <c r="I55" s="61">
        <v>18712.58614613333</v>
      </c>
      <c r="J55" s="61">
        <v>19461.769591978667</v>
      </c>
      <c r="K55" s="61">
        <v>20240.880375657813</v>
      </c>
      <c r="L55" s="61">
        <v>21040.115590684127</v>
      </c>
      <c r="M55" s="61">
        <v>6962.0804808693083</v>
      </c>
      <c r="N55" s="87">
        <v>93628.248380436475</v>
      </c>
    </row>
    <row r="56" spans="1:14" x14ac:dyDescent="0.25">
      <c r="A56" s="137" t="s">
        <v>31</v>
      </c>
      <c r="B56" s="138"/>
      <c r="C56" s="137"/>
      <c r="D56" s="137"/>
      <c r="E56" s="60"/>
      <c r="F56" s="62"/>
      <c r="G56" s="61">
        <v>117314.08666666668</v>
      </c>
      <c r="H56" s="61">
        <v>102697.91746666667</v>
      </c>
      <c r="I56" s="61">
        <v>115479.49489866667</v>
      </c>
      <c r="J56" s="61">
        <v>118937.18302658666</v>
      </c>
      <c r="K56" s="61">
        <v>122884.40792958267</v>
      </c>
      <c r="L56" s="61">
        <v>126977.22915615646</v>
      </c>
      <c r="M56" s="61">
        <v>65600.048284489778</v>
      </c>
      <c r="N56" s="87">
        <v>577313.08998816938</v>
      </c>
    </row>
    <row r="57" spans="1:14" x14ac:dyDescent="0.25">
      <c r="A57" s="130" t="s">
        <v>30</v>
      </c>
      <c r="B57" s="131"/>
      <c r="C57" s="130" t="s">
        <v>27</v>
      </c>
      <c r="D57" s="130">
        <f>'Input Sheet'!$B$39</f>
        <v>0.56000000000000005</v>
      </c>
      <c r="E57" s="57"/>
      <c r="F57" s="58"/>
      <c r="G57" s="59">
        <v>117314.08666666668</v>
      </c>
      <c r="H57" s="59">
        <v>102697.91746666667</v>
      </c>
      <c r="I57" s="59">
        <v>115479.49489866667</v>
      </c>
      <c r="J57" s="59">
        <v>118937.18302658666</v>
      </c>
      <c r="K57" s="59">
        <v>122884.40792958267</v>
      </c>
      <c r="L57" s="59">
        <v>126977.22915615646</v>
      </c>
      <c r="M57" s="59">
        <v>65600.048284489778</v>
      </c>
      <c r="N57" s="88">
        <v>577313.08998816938</v>
      </c>
    </row>
    <row r="58" spans="1:14" x14ac:dyDescent="0.25">
      <c r="A58" s="15"/>
      <c r="E58" s="12"/>
      <c r="F58" s="16"/>
      <c r="G58" s="13"/>
      <c r="H58" s="13"/>
      <c r="I58" s="13"/>
      <c r="J58" s="13"/>
      <c r="K58" s="13"/>
      <c r="L58" s="13"/>
      <c r="M58" s="13"/>
      <c r="N58" s="16"/>
    </row>
    <row r="59" spans="1:14" x14ac:dyDescent="0.25">
      <c r="A59" s="125" t="s">
        <v>32</v>
      </c>
      <c r="B59" s="125"/>
      <c r="C59" s="125"/>
      <c r="D59" s="125"/>
      <c r="E59" s="9"/>
      <c r="F59" s="9"/>
      <c r="G59" s="9"/>
      <c r="H59" s="10"/>
      <c r="I59" s="10"/>
      <c r="J59" s="10"/>
      <c r="K59" s="10"/>
      <c r="L59" s="10"/>
      <c r="M59" s="10"/>
      <c r="N59" s="98"/>
    </row>
    <row r="60" spans="1:14" x14ac:dyDescent="0.25">
      <c r="A60" s="126"/>
      <c r="B60" s="126"/>
      <c r="C60" s="126"/>
      <c r="D60" s="126"/>
      <c r="E60" s="19"/>
      <c r="F60" s="19"/>
      <c r="G60" s="86" t="s">
        <v>143</v>
      </c>
      <c r="H60" s="19"/>
      <c r="I60" s="19"/>
      <c r="J60" s="19"/>
      <c r="K60" s="19"/>
      <c r="L60" s="19"/>
      <c r="M60" s="19"/>
      <c r="N60" s="19"/>
    </row>
    <row r="61" spans="1:14" x14ac:dyDescent="0.25">
      <c r="A61" s="231"/>
      <c r="B61" s="232"/>
      <c r="C61" s="20"/>
      <c r="D61" s="20"/>
      <c r="E61" s="20"/>
      <c r="F61" s="156"/>
      <c r="G61" s="20" t="s">
        <v>3</v>
      </c>
      <c r="H61" s="20" t="s">
        <v>4</v>
      </c>
      <c r="I61" s="20" t="s">
        <v>147</v>
      </c>
      <c r="J61" s="20" t="s">
        <v>151</v>
      </c>
      <c r="K61" s="20" t="s">
        <v>152</v>
      </c>
      <c r="L61" s="20" t="s">
        <v>169</v>
      </c>
      <c r="M61" s="20" t="s">
        <v>170</v>
      </c>
      <c r="N61" s="20" t="s">
        <v>5</v>
      </c>
    </row>
    <row r="62" spans="1:14" x14ac:dyDescent="0.25">
      <c r="A62" s="127" t="s">
        <v>19</v>
      </c>
      <c r="B62" s="128"/>
      <c r="C62" s="127"/>
      <c r="D62" s="127"/>
      <c r="E62" s="14"/>
      <c r="F62" s="17"/>
      <c r="G62" s="32">
        <v>117303.08666666667</v>
      </c>
      <c r="H62" s="18">
        <v>102686.91746666667</v>
      </c>
      <c r="I62" s="18">
        <v>115465.49489866666</v>
      </c>
      <c r="J62" s="18">
        <v>118891.18302658666</v>
      </c>
      <c r="K62" s="18">
        <v>122866.40792958267</v>
      </c>
      <c r="L62" s="18">
        <v>126977.22915615648</v>
      </c>
      <c r="M62" s="18">
        <v>65600.048284489778</v>
      </c>
      <c r="N62" s="32">
        <v>769790.36742881557</v>
      </c>
    </row>
    <row r="63" spans="1:14" x14ac:dyDescent="0.25">
      <c r="A63" s="127" t="s">
        <v>23</v>
      </c>
      <c r="B63" s="128"/>
      <c r="C63" s="127"/>
      <c r="D63" s="127"/>
      <c r="E63" s="14"/>
      <c r="F63" s="17"/>
      <c r="G63" s="32">
        <v>38523.285333333333</v>
      </c>
      <c r="H63" s="84">
        <v>15952.3696</v>
      </c>
      <c r="I63" s="84">
        <v>18718.58614613333</v>
      </c>
      <c r="J63" s="84">
        <v>19498.769591978667</v>
      </c>
      <c r="K63" s="84">
        <v>20248.880375657813</v>
      </c>
      <c r="L63" s="84">
        <v>21040.115590684127</v>
      </c>
      <c r="M63" s="84">
        <v>6962.0804808693083</v>
      </c>
      <c r="N63" s="32">
        <v>140944.08711865658</v>
      </c>
    </row>
    <row r="64" spans="1:14" x14ac:dyDescent="0.25">
      <c r="A64" s="127" t="s">
        <v>20</v>
      </c>
      <c r="B64" s="128"/>
      <c r="C64" s="127"/>
      <c r="D64" s="127"/>
      <c r="E64" s="14"/>
      <c r="F64" s="17"/>
      <c r="G64" s="32">
        <v>3</v>
      </c>
      <c r="H64" s="84">
        <v>3</v>
      </c>
      <c r="I64" s="84">
        <v>3</v>
      </c>
      <c r="J64" s="84">
        <v>3</v>
      </c>
      <c r="K64" s="84">
        <v>3</v>
      </c>
      <c r="L64" s="84">
        <v>0</v>
      </c>
      <c r="M64" s="84">
        <v>0</v>
      </c>
      <c r="N64" s="32">
        <v>15</v>
      </c>
    </row>
    <row r="65" spans="1:14" x14ac:dyDescent="0.25">
      <c r="A65" s="127" t="s">
        <v>31</v>
      </c>
      <c r="B65" s="128"/>
      <c r="C65" s="127"/>
      <c r="D65" s="127"/>
      <c r="E65" s="14"/>
      <c r="F65" s="17"/>
      <c r="G65" s="32">
        <v>117314.08666666668</v>
      </c>
      <c r="H65" s="18">
        <v>102697.91746666667</v>
      </c>
      <c r="I65" s="18">
        <v>115479.49489866667</v>
      </c>
      <c r="J65" s="18">
        <v>118937.18302658666</v>
      </c>
      <c r="K65" s="18">
        <v>122884.40792958267</v>
      </c>
      <c r="L65" s="18">
        <v>126977.22915615646</v>
      </c>
      <c r="M65" s="18">
        <v>65600.048284489778</v>
      </c>
      <c r="N65" s="32">
        <v>769890.36742881557</v>
      </c>
    </row>
    <row r="66" spans="1:14" x14ac:dyDescent="0.25">
      <c r="A66" s="127" t="s">
        <v>30</v>
      </c>
      <c r="B66" s="128"/>
      <c r="C66" s="127" t="s">
        <v>27</v>
      </c>
      <c r="D66" s="127">
        <f>'Input Sheet'!$B$39</f>
        <v>0.56000000000000005</v>
      </c>
      <c r="E66" s="14"/>
      <c r="F66" s="17"/>
      <c r="G66" s="32">
        <v>117314.08666666668</v>
      </c>
      <c r="H66" s="18">
        <v>102697.91746666667</v>
      </c>
      <c r="I66" s="18">
        <v>115479.49489866667</v>
      </c>
      <c r="J66" s="18">
        <v>118937.18302658666</v>
      </c>
      <c r="K66" s="18">
        <v>122884.40792958267</v>
      </c>
      <c r="L66" s="18">
        <v>126977.22915615646</v>
      </c>
      <c r="M66" s="18">
        <v>65600.048284489778</v>
      </c>
      <c r="N66" s="32">
        <v>769890.36742881557</v>
      </c>
    </row>
    <row r="67" spans="1:14" x14ac:dyDescent="0.25">
      <c r="A67" s="127" t="s">
        <v>34</v>
      </c>
      <c r="B67" s="128"/>
      <c r="C67" s="127"/>
      <c r="D67" s="127"/>
      <c r="E67" s="14"/>
      <c r="F67" s="17"/>
      <c r="G67" s="32">
        <v>253892.81600000005</v>
      </c>
      <c r="H67" s="84">
        <v>221344.20453333334</v>
      </c>
      <c r="I67" s="84">
        <v>249671.57594346668</v>
      </c>
      <c r="J67" s="84">
        <v>257336.13564515198</v>
      </c>
      <c r="K67" s="84">
        <v>266009.69623482315</v>
      </c>
      <c r="L67" s="84">
        <v>274994.57390299707</v>
      </c>
      <c r="M67" s="84">
        <v>138162.17704984886</v>
      </c>
      <c r="N67" s="32">
        <v>1661411.1793096212</v>
      </c>
    </row>
    <row r="69" spans="1:14" x14ac:dyDescent="0.25">
      <c r="A69" s="240" t="s">
        <v>200</v>
      </c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</row>
    <row r="70" spans="1:14" x14ac:dyDescent="0.25">
      <c r="A70" s="240"/>
      <c r="B70" s="240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</row>
    <row r="71" spans="1:14" x14ac:dyDescent="0.25">
      <c r="A71" s="240"/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</row>
    <row r="72" spans="1:14" x14ac:dyDescent="0.25">
      <c r="A72" s="240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</row>
    <row r="73" spans="1:14" x14ac:dyDescent="0.25">
      <c r="A73" s="240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</row>
    <row r="74" spans="1:14" x14ac:dyDescent="0.25">
      <c r="A74" s="240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</row>
    <row r="75" spans="1:14" x14ac:dyDescent="0.25">
      <c r="A75" s="240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</row>
    <row r="76" spans="1:14" x14ac:dyDescent="0.25">
      <c r="A76" s="240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</row>
    <row r="79" spans="1:14" x14ac:dyDescent="0.25">
      <c r="A79" s="168"/>
      <c r="B79" s="168"/>
      <c r="C79" s="168"/>
      <c r="D79" s="168"/>
      <c r="E79" s="168"/>
      <c r="F79" s="168"/>
      <c r="G79" s="168"/>
      <c r="H79" s="168"/>
      <c r="I79" s="168"/>
      <c r="J79" s="168"/>
      <c r="K79" s="168"/>
      <c r="L79" s="168"/>
      <c r="M79" s="168"/>
      <c r="N79" s="168"/>
    </row>
    <row r="80" spans="1:14" ht="18.75" x14ac:dyDescent="0.3">
      <c r="A80" s="235" t="s">
        <v>148</v>
      </c>
      <c r="B80" s="235"/>
      <c r="C80" s="235"/>
      <c r="D80" s="235"/>
      <c r="E80" s="235"/>
      <c r="F80" s="235"/>
      <c r="G80" s="235"/>
      <c r="H80" s="235"/>
      <c r="I80" s="235"/>
      <c r="J80" s="235"/>
      <c r="K80" s="235"/>
      <c r="L80" s="235"/>
      <c r="M80" s="235"/>
      <c r="N80" s="235"/>
    </row>
    <row r="82" spans="1:14" ht="34.5" customHeight="1" x14ac:dyDescent="0.4">
      <c r="A82" s="169" t="s">
        <v>199</v>
      </c>
      <c r="B82" s="236" t="s">
        <v>198</v>
      </c>
      <c r="C82" s="236"/>
      <c r="D82" s="236"/>
      <c r="E82" s="236"/>
      <c r="F82" s="236"/>
      <c r="H82" s="237" t="s">
        <v>197</v>
      </c>
      <c r="I82" s="237"/>
      <c r="J82" s="236" t="s">
        <v>198</v>
      </c>
      <c r="K82" s="236"/>
      <c r="L82" s="236"/>
      <c r="M82" s="236"/>
      <c r="N82" s="236"/>
    </row>
    <row r="87" spans="1:14" x14ac:dyDescent="0.25">
      <c r="A87" s="235" t="s">
        <v>148</v>
      </c>
      <c r="B87" s="235"/>
      <c r="C87" s="235"/>
      <c r="D87" s="235"/>
      <c r="E87" s="235"/>
      <c r="F87" s="235"/>
      <c r="G87" s="235"/>
      <c r="H87" s="235"/>
      <c r="I87" s="235"/>
      <c r="J87" s="235"/>
    </row>
    <row r="88" spans="1:14" x14ac:dyDescent="0.25">
      <c r="A88" s="235"/>
      <c r="B88" s="235"/>
      <c r="C88" s="235"/>
      <c r="D88" s="235"/>
      <c r="E88" s="235"/>
      <c r="F88" s="235"/>
      <c r="G88" s="235"/>
      <c r="H88" s="235"/>
      <c r="I88" s="235"/>
      <c r="J88" s="235"/>
    </row>
    <row r="89" spans="1:14" ht="15.75" x14ac:dyDescent="0.25">
      <c r="J89" s="123"/>
    </row>
    <row r="90" spans="1:14" ht="17.25" x14ac:dyDescent="0.4">
      <c r="A90" s="171" t="s">
        <v>199</v>
      </c>
      <c r="B90" s="236" t="s">
        <v>198</v>
      </c>
      <c r="C90" s="236"/>
      <c r="D90" s="236"/>
      <c r="E90" s="236"/>
      <c r="F90" s="236"/>
    </row>
    <row r="91" spans="1:14" x14ac:dyDescent="0.25">
      <c r="A91" s="22"/>
    </row>
    <row r="92" spans="1:14" ht="17.25" x14ac:dyDescent="0.4">
      <c r="A92" s="22"/>
      <c r="G92" s="170"/>
    </row>
    <row r="93" spans="1:14" ht="17.25" x14ac:dyDescent="0.4">
      <c r="A93" s="172" t="s">
        <v>197</v>
      </c>
      <c r="B93" s="236" t="s">
        <v>198</v>
      </c>
      <c r="C93" s="236"/>
      <c r="D93" s="236"/>
      <c r="E93" s="236"/>
      <c r="F93" s="236"/>
    </row>
  </sheetData>
  <sheetProtection password="C531" sheet="1" objects="1" scenarios="1"/>
  <mergeCells count="29">
    <mergeCell ref="H82:I82"/>
    <mergeCell ref="J82:N82"/>
    <mergeCell ref="B82:F82"/>
    <mergeCell ref="A61:B61"/>
    <mergeCell ref="A43:B43"/>
    <mergeCell ref="A44:B44"/>
    <mergeCell ref="A69:N76"/>
    <mergeCell ref="A80:N80"/>
    <mergeCell ref="A35:B35"/>
    <mergeCell ref="A38:B38"/>
    <mergeCell ref="A39:B39"/>
    <mergeCell ref="A45:B45"/>
    <mergeCell ref="A49:B49"/>
    <mergeCell ref="A87:J88"/>
    <mergeCell ref="B90:F90"/>
    <mergeCell ref="B93:F93"/>
    <mergeCell ref="A36:B36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8:B28"/>
    <mergeCell ref="A33:B33"/>
    <mergeCell ref="A34:B3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G134"/>
  <sheetViews>
    <sheetView topLeftCell="A45" workbookViewId="0">
      <selection sqref="A1:XFD1048576"/>
    </sheetView>
  </sheetViews>
  <sheetFormatPr defaultColWidth="8.85546875" defaultRowHeight="15" x14ac:dyDescent="0.25"/>
  <cols>
    <col min="1" max="1" width="5.85546875" customWidth="1"/>
    <col min="2" max="2" width="5.42578125" customWidth="1"/>
    <col min="3" max="3" width="15.85546875" bestFit="1" customWidth="1"/>
    <col min="4" max="4" width="14.85546875" customWidth="1"/>
    <col min="5" max="5" width="9.7109375" customWidth="1"/>
    <col min="6" max="6" width="16.85546875" customWidth="1"/>
    <col min="7" max="7" width="13.28515625" bestFit="1" customWidth="1"/>
    <col min="8" max="8" width="12.42578125" bestFit="1" customWidth="1"/>
    <col min="9" max="9" width="15" customWidth="1"/>
    <col min="10" max="10" width="13.85546875" bestFit="1" customWidth="1"/>
    <col min="11" max="18" width="13.85546875" customWidth="1"/>
    <col min="19" max="19" width="13.85546875" bestFit="1" customWidth="1"/>
    <col min="20" max="25" width="12.85546875" bestFit="1" customWidth="1"/>
    <col min="26" max="26" width="10.42578125" bestFit="1" customWidth="1"/>
    <col min="27" max="29" width="8.42578125" bestFit="1" customWidth="1"/>
    <col min="30" max="36" width="10.42578125" bestFit="1" customWidth="1"/>
    <col min="40" max="40" width="11.140625" customWidth="1"/>
    <col min="41" max="46" width="10.42578125" bestFit="1" customWidth="1"/>
  </cols>
  <sheetData>
    <row r="1" spans="1:20" x14ac:dyDescent="0.25">
      <c r="C1" t="s">
        <v>98</v>
      </c>
      <c r="D1" t="s">
        <v>98</v>
      </c>
      <c r="G1" t="s">
        <v>98</v>
      </c>
      <c r="H1" t="s">
        <v>98</v>
      </c>
      <c r="I1" t="s">
        <v>98</v>
      </c>
    </row>
    <row r="2" spans="1:20" x14ac:dyDescent="0.25">
      <c r="C2" t="str">
        <f>"=FTS"</f>
        <v>=FTS</v>
      </c>
      <c r="D2" t="str">
        <f>"=FTA"</f>
        <v>=FTA</v>
      </c>
      <c r="G2" t="str">
        <f>"=PDA"</f>
        <v>=PDA</v>
      </c>
      <c r="H2" t="str">
        <f>"=PTG"</f>
        <v>=PTG</v>
      </c>
      <c r="I2" t="str">
        <f>"=PTU"</f>
        <v>=PTU</v>
      </c>
    </row>
    <row r="3" spans="1:20" x14ac:dyDescent="0.25">
      <c r="A3">
        <f>'Input Sheet'!F39</f>
        <v>0</v>
      </c>
      <c r="C3" s="1" t="s">
        <v>117</v>
      </c>
      <c r="D3">
        <f>'Input Sheet'!B3</f>
        <v>0</v>
      </c>
      <c r="I3" s="1" t="s">
        <v>118</v>
      </c>
      <c r="J3" t="str">
        <f>IF(ISBLANK('Input Sheet'!B4),"",'Input Sheet'!B4)</f>
        <v/>
      </c>
    </row>
    <row r="4" spans="1:20" x14ac:dyDescent="0.25">
      <c r="C4" s="1" t="s">
        <v>116</v>
      </c>
      <c r="D4" t="str">
        <f>'Input Sheet'!B2</f>
        <v>Select</v>
      </c>
    </row>
    <row r="5" spans="1:20" ht="15.75" thickBot="1" x14ac:dyDescent="0.3">
      <c r="C5" s="1"/>
    </row>
    <row r="6" spans="1:20" x14ac:dyDescent="0.25">
      <c r="C6" s="72" t="s">
        <v>134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</row>
    <row r="7" spans="1:20" x14ac:dyDescent="0.25">
      <c r="C7" s="66" t="s">
        <v>61</v>
      </c>
    </row>
    <row r="8" spans="1:20" x14ac:dyDescent="0.25">
      <c r="C8" s="67" t="e">
        <f>'Input Sheet'!#REF!</f>
        <v>#REF!</v>
      </c>
      <c r="D8" s="132" t="e">
        <f>S21</f>
        <v>#REF!</v>
      </c>
      <c r="E8" s="132"/>
      <c r="F8" s="132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</row>
    <row r="9" spans="1:20" ht="15.75" thickBot="1" x14ac:dyDescent="0.3">
      <c r="C9" s="68" t="e">
        <f>IF(S21&lt;=C8,S21,"")</f>
        <v>#REF!</v>
      </c>
      <c r="D9" s="69" t="str">
        <f>IF(ISERROR(AND(($S$21-$C$8)/(#REF!-$C$8)&lt;=(1/10),($S$21-$C$8)/(#REF!-$C$8)&gt;(0))),"",IF(AND(($S$21-$C$8)/(#REF!-$C$8)&lt;=(1/10),($S$21-$C$8)/(#REF!-$C$8)&gt;(0)),$S$21,""))</f>
        <v/>
      </c>
      <c r="E9" s="69"/>
      <c r="F9" s="69"/>
      <c r="G9" s="69" t="str">
        <f>IF(ISERROR(AND(($S$21-$C$8)/(#REF!-$C$8)&lt;=(2/10),($S$21-$C$8)/(#REF!-$C$8)&gt;(1/10))),"",IF(AND(($S$21-$C$8)/(#REF!-$C$8)&lt;=(2/10),($S$21-$C$8)/(#REF!-$C$8)&gt;(1/10)),$S$21,""))</f>
        <v/>
      </c>
      <c r="H9" s="69" t="str">
        <f>IF(ISERROR(AND(($S$21-$C$8)/(#REF!-$C$8)&lt;=(3/10),($S$21-$C$8)/(#REF!-$C$8)&gt;(2/10))),"",IF(AND(($S$21-$C$8)/(#REF!-$C$8)&lt;=(3/10),($S$21-$C$8)/(#REF!-$C$8)&gt;(2/10)),$S$21,""))</f>
        <v/>
      </c>
      <c r="I9" s="69" t="str">
        <f>IF(ISERROR(AND(($S$21-$C$8)/(#REF!-$C$8)&lt;=(4/10),($S$21-$C$8)/(#REF!-$C$8)&gt;(3/10))),"",IF(AND(($S$21-$C$8)/(#REF!-$C$8)&lt;=(4/10),($S$21-$C$8)/(#REF!-$C$8)&gt;(3/10)),$S$21,""))</f>
        <v/>
      </c>
      <c r="J9" s="69" t="str">
        <f>IF(ISERROR(AND(($S$21-$C$8)/(#REF!-$C$8)&lt;=(5/10),($S$21-$C$8)/(#REF!-$C$8)&gt;(4/10))),"",IF(AND(($S$21-$C$8)/(#REF!-$C$8)&lt;=(5/10),($S$21-$C$8)/(#REF!-$C$8)&gt;(4/10)),$S$21,""))</f>
        <v/>
      </c>
      <c r="K9" s="69"/>
      <c r="L9" s="69"/>
      <c r="M9" s="69"/>
      <c r="N9" s="69"/>
      <c r="O9" s="69"/>
      <c r="P9" s="69"/>
      <c r="Q9" s="69"/>
      <c r="R9" s="69"/>
      <c r="S9" s="69" t="str">
        <f>IF(ISERROR(AND(($S$21-$C$8)/(#REF!-$C$8)&lt;=(7/10),($S$21-$C$8)/(#REF!-$C$8)&gt;(6/10))),"",IF(AND(($S$21-$C$8)/(#REF!-$C$8)&lt;=(7/10),($S$21-$C$8)/(#REF!-$C$8)&gt;(6/10)),$S$21,""))</f>
        <v/>
      </c>
    </row>
    <row r="10" spans="1:20" ht="15.75" thickBot="1" x14ac:dyDescent="0.3">
      <c r="C10" s="6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20" x14ac:dyDescent="0.25">
      <c r="C11" s="73" t="s">
        <v>135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</row>
    <row r="12" spans="1:20" x14ac:dyDescent="0.25">
      <c r="C12" s="66" t="s">
        <v>61</v>
      </c>
    </row>
    <row r="13" spans="1:20" x14ac:dyDescent="0.25">
      <c r="C13" s="67">
        <f>'Input Sheet'!H18</f>
        <v>0</v>
      </c>
      <c r="D13" s="132">
        <f>S26</f>
        <v>0</v>
      </c>
      <c r="E13" s="132"/>
      <c r="F13" s="132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</row>
    <row r="14" spans="1:20" ht="15.75" thickBot="1" x14ac:dyDescent="0.3">
      <c r="C14" s="68" t="str">
        <f>IF(C13=0,"",IF(S26&lt;=C13,S26,""))</f>
        <v/>
      </c>
      <c r="D14" s="69" t="str">
        <f>IF(ISERROR(AND(($S$20-$C$13)/(#REF!-$C$13)&lt;=(1/10),($S$20-$C$13)/(#REF!-$C$13)&gt;(0))),"",IF(AND(($S$20-$C$13)/(#REF!-$C$13)&lt;=(1/10),($S$20-$C$13)/(#REF!-$C$13)&gt;(0)),$S$20,""))</f>
        <v/>
      </c>
      <c r="E14" s="69"/>
      <c r="F14" s="69"/>
      <c r="G14" s="69" t="str">
        <f>IF(ISERROR(AND(($S$20-$C$13)/(#REF!-$C$13)&lt;=(2/10),($S$20-$C$13)/(#REF!-$C$13)&gt;(1/10))),"",IF(AND(($S$20-$C$13)/(#REF!-$C$13)&lt;=(2/10),($S$20-$C$13)/(#REF!-$C$13)&gt;(1/10)),$S$20,""))</f>
        <v/>
      </c>
      <c r="H14" s="69" t="str">
        <f>IF(ISERROR(AND(($S$20-$C$13)/(#REF!-$C$13)&lt;=(3/10),($S$20-$C$13)/(#REF!-$C$13)&gt;(2/10))),"",IF(AND(($S$20-$C$13)/(#REF!-$C$13)&lt;=(3/10),($S$20-$C$13)/(#REF!-$C$13)&gt;(2/10)),$S$20,""))</f>
        <v/>
      </c>
      <c r="I14" s="69" t="str">
        <f>IF(ISERROR(AND(($S$20-$C$13)/(#REF!-$C$13)&lt;=(4/10),($S$20-$C$13)/(#REF!-$C$13)&gt;(3/10))),"",IF(AND(($S$20-$C$13)/(#REF!-$C$13)&lt;=(4/10),($S$20-$C$13)/(#REF!-$C$13)&gt;(3/10)),$S$20,""))</f>
        <v/>
      </c>
      <c r="J14" s="69" t="str">
        <f>IF(ISERROR(AND(($S$20-$C$13)/(#REF!-$C$13)&lt;=(5/10),($S$20-$C$13)/(#REF!-$C$13)&gt;(4/10))),"",IF(AND(($S$20-$C$13)/(#REF!-$C$13)&lt;=(5/10),($S$20-$C$13)/(#REF!-$C$13)&gt;(4/10)),$S$20,""))</f>
        <v/>
      </c>
      <c r="K14" s="69"/>
      <c r="L14" s="69"/>
      <c r="M14" s="69"/>
      <c r="N14" s="69"/>
      <c r="O14" s="69"/>
      <c r="P14" s="69"/>
      <c r="Q14" s="69"/>
      <c r="R14" s="69"/>
      <c r="S14" s="69" t="str">
        <f>IF(ISERROR(AND(($S$20-$C$13)/(#REF!-$C$13)&lt;=(7/10),($S$20-$C$13)/(#REF!-$C$13)&gt;(6/10))),"",IF(AND(($S$20-$C$13)/(#REF!-$C$13)&lt;=(7/10),($S$20-$C$13)/(#REF!-$C$13)&gt;(6/10)),$S$20,""))</f>
        <v/>
      </c>
    </row>
    <row r="15" spans="1:20" x14ac:dyDescent="0.2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20" x14ac:dyDescent="0.25">
      <c r="I16" s="21" t="s">
        <v>3</v>
      </c>
      <c r="J16" s="21" t="s">
        <v>4</v>
      </c>
      <c r="K16" s="21" t="s">
        <v>147</v>
      </c>
      <c r="L16" s="21" t="s">
        <v>151</v>
      </c>
      <c r="M16" s="21" t="s">
        <v>152</v>
      </c>
      <c r="N16" s="21" t="s">
        <v>169</v>
      </c>
      <c r="O16" s="21" t="s">
        <v>170</v>
      </c>
      <c r="P16" s="21" t="s">
        <v>171</v>
      </c>
      <c r="Q16" s="21" t="s">
        <v>172</v>
      </c>
      <c r="R16" s="21" t="s">
        <v>173</v>
      </c>
      <c r="S16" s="21" t="s">
        <v>5</v>
      </c>
      <c r="T16" s="2"/>
    </row>
    <row r="17" spans="1:59" x14ac:dyDescent="0.25">
      <c r="I17" s="4">
        <f>'Input Sheet'!B6</f>
        <v>0</v>
      </c>
      <c r="J17" s="4">
        <f>IF(OR('Input Sheet'!$F$6=I18, ISERROR(I17*0)),"",DATE(YEAR(I17)+1,MONTH(I17),DAY(I17)))</f>
        <v>366</v>
      </c>
      <c r="K17" s="4">
        <f>IF(OR('Input Sheet'!$F$6=J18, ISERROR(J17*0)),"",DATE(YEAR(J17)+1,MONTH(J17),DAY(J17)))</f>
        <v>731</v>
      </c>
      <c r="L17" s="4">
        <f>IF(OR('Input Sheet'!$F$6=K18, ISERROR(K17*0)),"",DATE(YEAR(K17)+1,MONTH(K17),DAY(K17)))</f>
        <v>1096</v>
      </c>
      <c r="M17" s="4">
        <f>IF(OR('Input Sheet'!$F$6=L18, ISERROR(L17*0)),"",DATE(YEAR(L17)+1,MONTH(L17),DAY(L17)))</f>
        <v>1461</v>
      </c>
      <c r="N17" s="4">
        <f>IF(OR('Input Sheet'!$F$6=M18, ISERROR(M17*0)),"",DATE(YEAR(M17)+1,MONTH(M17),DAY(M17)))</f>
        <v>1827</v>
      </c>
      <c r="O17" s="4">
        <f>IF(OR('Input Sheet'!$F$6=N18, ISERROR(N17*0)),"",DATE(YEAR(N17)+1,MONTH(N17),DAY(N17)))</f>
        <v>2192</v>
      </c>
      <c r="P17" s="4">
        <f>IF(OR('Input Sheet'!$F$6=O18, ISERROR(O17*0)),"",DATE(YEAR(O17)+1,MONTH(O17),DAY(O17)))</f>
        <v>2557</v>
      </c>
      <c r="Q17" s="4">
        <f>IF(OR('Input Sheet'!$F$6=P18, ISERROR(P17*0)),"",DATE(YEAR(P17)+1,MONTH(P17),DAY(P17)))</f>
        <v>2922</v>
      </c>
      <c r="R17" s="4">
        <f>IF(OR('Input Sheet'!$F$6=Q18, ISERROR(Q17*0)),"",DATE(YEAR(Q17)+1,MONTH(Q17),DAY(Q17)))</f>
        <v>3288</v>
      </c>
      <c r="S17" s="4">
        <f>MIN(I17:R17)</f>
        <v>0</v>
      </c>
      <c r="T17" s="110"/>
    </row>
    <row r="18" spans="1:59" x14ac:dyDescent="0.25">
      <c r="I18" s="4">
        <f>DATE(YEAR(HLOOKUP(I16,'Back-end'!$AA$42:$AJ$45,3)),MONTH(HLOOKUP(I16,'Back-end'!$AA$42:$AJ$45,3))+1,DAY(HLOOKUP(I16,'Back-end'!$AA$42:$AJ$45,3))-1)</f>
        <v>367</v>
      </c>
      <c r="J18" s="4">
        <f>IF(OR('Input Sheet'!$F$6=I18, ISERROR(J17*0)),"",DATE(YEAR(HLOOKUP(J16,'Back-end'!$AA$42:$AJ$45,3)),MONTH(HLOOKUP(J16,'Back-end'!$AA$42:$AJ$45,3))+1,DAY(HLOOKUP(J16,'Back-end'!$AA$42:$AJ$45,3))-1))</f>
        <v>732</v>
      </c>
      <c r="K18" s="4">
        <f>IF(OR('Input Sheet'!$F$6=J18, ISERROR(K17*0)),"",DATE(YEAR(HLOOKUP(K16,'Back-end'!$AA$42:$AJ$45,3)),MONTH(HLOOKUP(K16,'Back-end'!$AA$42:$AJ$45,3))+1,DAY(HLOOKUP(K16,'Back-end'!$AA$42:$AJ$45,3))-1))</f>
        <v>1097</v>
      </c>
      <c r="L18" s="4">
        <f>IF(OR('Input Sheet'!$F$6=K18, ISERROR(L17*0)),"",DATE(YEAR(HLOOKUP(L16,'Back-end'!$AA$42:$AJ$45,3)),MONTH(HLOOKUP(L16,'Back-end'!$AA$42:$AJ$45,3))+1,DAY(HLOOKUP(L16,'Back-end'!$AA$42:$AJ$45,3))-1))</f>
        <v>1462</v>
      </c>
      <c r="M18" s="4">
        <f>IF(OR('Input Sheet'!$F$6=L18, ISERROR(M17*0)),"",DATE(YEAR(HLOOKUP(M16,'Back-end'!$AA$42:$AJ$45,3)),MONTH(HLOOKUP(M16,'Back-end'!$AA$42:$AJ$45,3))+1,DAY(HLOOKUP(M16,'Back-end'!$AA$42:$AJ$45,3))-1))</f>
        <v>1828</v>
      </c>
      <c r="N18" s="4">
        <f>IF(OR('Input Sheet'!$F$6=M18, ISERROR(N17*0)),"",DATE(YEAR(HLOOKUP(N16,'Back-end'!$AA$42:$AJ$45,3)),MONTH(HLOOKUP(N16,'Back-end'!$AA$42:$AJ$45,3))+1,DAY(HLOOKUP(N16,'Back-end'!$AA$42:$AJ$45,3))-1))</f>
        <v>1828</v>
      </c>
      <c r="O18" s="4">
        <f>IF(OR('Input Sheet'!$F$6=N18, ISERROR(O17*0)),"",DATE(YEAR(HLOOKUP(O16,'Back-end'!$AA$42:$AJ$45,3)),MONTH(HLOOKUP(O16,'Back-end'!$AA$42:$AJ$45,3))+1,DAY(HLOOKUP(O16,'Back-end'!$AA$42:$AJ$45,3))-1))</f>
        <v>1828</v>
      </c>
      <c r="P18" s="4">
        <f>IF(OR('Input Sheet'!$F$6=O18, ISERROR(P17*0)),"",DATE(YEAR(HLOOKUP(P16,'Back-end'!$AA$42:$AJ$45,3)),MONTH(HLOOKUP(P16,'Back-end'!$AA$42:$AJ$45,3))+1,DAY(HLOOKUP(P16,'Back-end'!$AA$42:$AJ$45,3))-1))</f>
        <v>1828</v>
      </c>
      <c r="Q18" s="4">
        <f>IF(OR('Input Sheet'!$F$6=P18, ISERROR(Q17*0)),"",DATE(YEAR(HLOOKUP(Q16,'Back-end'!$AA$42:$AJ$45,3)),MONTH(HLOOKUP(Q16,'Back-end'!$AA$42:$AJ$45,3))+1,DAY(HLOOKUP(Q16,'Back-end'!$AA$42:$AJ$45,3))-1))</f>
        <v>1828</v>
      </c>
      <c r="R18" s="4">
        <f>IF(OR('Input Sheet'!$F$6=Q18, ISERROR(R17*0)),"",DATE(YEAR(HLOOKUP(R16,'Back-end'!$AA$42:$AJ$45,3)),MONTH(HLOOKUP(R16,'Back-end'!$AA$42:$AJ$45,3))+1,DAY(HLOOKUP(R16,'Back-end'!$AA$42:$AJ$45,3))-1))</f>
        <v>367</v>
      </c>
      <c r="S18" s="4">
        <f>MAX(I18:R18)</f>
        <v>1828</v>
      </c>
      <c r="T18" s="3"/>
    </row>
    <row r="19" spans="1:59" ht="15" hidden="1" customHeight="1" x14ac:dyDescent="0.25">
      <c r="C19" s="75" t="s">
        <v>30</v>
      </c>
      <c r="D19" s="75"/>
      <c r="E19" s="75"/>
      <c r="F19" s="75"/>
      <c r="G19" s="75"/>
      <c r="H19" s="124"/>
      <c r="I19" s="23" t="e">
        <f>I62</f>
        <v>#REF!</v>
      </c>
      <c r="J19" s="23" t="e">
        <f>J62</f>
        <v>#REF!</v>
      </c>
      <c r="K19" s="23"/>
      <c r="L19" s="23"/>
      <c r="M19" s="23"/>
      <c r="N19" s="23"/>
      <c r="O19" s="23"/>
      <c r="P19" s="23"/>
      <c r="Q19" s="23"/>
      <c r="R19" s="23"/>
      <c r="S19" s="23" t="e">
        <f>SUM(I19:J19)</f>
        <v>#REF!</v>
      </c>
    </row>
    <row r="20" spans="1:59" ht="15" hidden="1" customHeight="1" x14ac:dyDescent="0.25">
      <c r="C20" s="75" t="s">
        <v>24</v>
      </c>
      <c r="D20" s="75"/>
      <c r="E20" s="75"/>
      <c r="F20" s="75"/>
      <c r="G20" s="75"/>
      <c r="H20" s="124"/>
      <c r="I20" s="23">
        <f>I50</f>
        <v>6000</v>
      </c>
      <c r="J20" s="23">
        <f>J50</f>
        <v>1</v>
      </c>
      <c r="K20" s="23"/>
      <c r="L20" s="23"/>
      <c r="M20" s="23"/>
      <c r="N20" s="23"/>
      <c r="O20" s="23"/>
      <c r="P20" s="23"/>
      <c r="Q20" s="23"/>
      <c r="R20" s="23"/>
      <c r="S20" s="23">
        <f>SUM(I20:J20)</f>
        <v>6001</v>
      </c>
    </row>
    <row r="21" spans="1:59" ht="15" hidden="1" customHeight="1" x14ac:dyDescent="0.25">
      <c r="C21" s="75" t="s">
        <v>33</v>
      </c>
      <c r="D21" s="75"/>
      <c r="E21" s="75"/>
      <c r="F21" s="75"/>
      <c r="G21" s="75"/>
      <c r="H21" s="124"/>
      <c r="I21" s="23" t="e">
        <f>I19+I20</f>
        <v>#REF!</v>
      </c>
      <c r="J21" s="23" t="e">
        <f>J19+J20</f>
        <v>#REF!</v>
      </c>
      <c r="K21" s="23"/>
      <c r="L21" s="23"/>
      <c r="M21" s="23"/>
      <c r="N21" s="23"/>
      <c r="O21" s="23"/>
      <c r="P21" s="23"/>
      <c r="Q21" s="23"/>
      <c r="R21" s="23"/>
      <c r="S21" s="23" t="e">
        <f>SUM(I21:J21)</f>
        <v>#REF!</v>
      </c>
    </row>
    <row r="22" spans="1:59" ht="15" hidden="1" customHeight="1" x14ac:dyDescent="0.25">
      <c r="C22" s="75" t="s">
        <v>139</v>
      </c>
      <c r="D22" s="75"/>
      <c r="E22" s="75"/>
      <c r="F22" s="75"/>
      <c r="G22" s="75"/>
      <c r="H22" s="75"/>
      <c r="I22" s="23" t="str">
        <f>IF('Input Sheet'!B20="Yes",IF(I20&gt;'Input Sheet'!H20,"Over-$"&amp;ROUND(I20-'Input Sheet'!H20,2),""),"")</f>
        <v/>
      </c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1:59" ht="15" hidden="1" customHeight="1" x14ac:dyDescent="0.25">
      <c r="C23" s="1"/>
      <c r="D23" s="3"/>
      <c r="E23" s="3"/>
      <c r="F23" s="3"/>
      <c r="G23" s="3"/>
      <c r="H23" s="3"/>
    </row>
    <row r="24" spans="1:59" x14ac:dyDescent="0.25">
      <c r="U24" s="3"/>
      <c r="V24" s="3"/>
    </row>
    <row r="25" spans="1:59" x14ac:dyDescent="0.25">
      <c r="C25" s="34" t="s">
        <v>6</v>
      </c>
      <c r="D25" s="34"/>
      <c r="E25" s="34"/>
      <c r="F25" s="34"/>
      <c r="G25" s="34"/>
      <c r="H25" s="34"/>
      <c r="I25" s="34"/>
      <c r="J25" s="83"/>
      <c r="K25" s="83"/>
      <c r="L25" s="83"/>
      <c r="M25" s="83"/>
      <c r="N25" s="83"/>
      <c r="O25" s="83"/>
      <c r="P25" s="83"/>
      <c r="Q25" s="83"/>
      <c r="R25" s="83"/>
      <c r="S25" s="90"/>
    </row>
    <row r="26" spans="1:59" x14ac:dyDescent="0.25">
      <c r="C26" s="35" t="s">
        <v>9</v>
      </c>
      <c r="D26" s="33"/>
      <c r="E26" s="33"/>
      <c r="F26" s="33"/>
      <c r="G26" s="33"/>
      <c r="H26" s="33"/>
      <c r="I26" s="35" t="s">
        <v>143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24" t="s">
        <v>184</v>
      </c>
      <c r="U26" s="151"/>
      <c r="V26" s="151"/>
      <c r="W26" s="24"/>
      <c r="X26" s="24"/>
      <c r="Y26" s="24"/>
      <c r="Z26" s="24"/>
      <c r="AA26" s="24"/>
      <c r="AB26" s="24"/>
      <c r="AC26" s="24"/>
      <c r="AD26" t="s">
        <v>0</v>
      </c>
      <c r="AN26" t="s">
        <v>1</v>
      </c>
      <c r="AX26" t="s">
        <v>2</v>
      </c>
    </row>
    <row r="27" spans="1:59" x14ac:dyDescent="0.25">
      <c r="A27" t="s">
        <v>98</v>
      </c>
      <c r="C27" s="144" t="s">
        <v>16</v>
      </c>
      <c r="D27" s="145"/>
      <c r="E27" s="144" t="s">
        <v>156</v>
      </c>
      <c r="F27" s="144" t="s">
        <v>165</v>
      </c>
      <c r="G27" s="36" t="s">
        <v>11</v>
      </c>
      <c r="H27" s="37" t="s">
        <v>12</v>
      </c>
      <c r="I27" s="36" t="s">
        <v>3</v>
      </c>
      <c r="J27" s="36" t="s">
        <v>4</v>
      </c>
      <c r="K27" s="36" t="s">
        <v>147</v>
      </c>
      <c r="L27" s="36" t="s">
        <v>151</v>
      </c>
      <c r="M27" s="36" t="s">
        <v>152</v>
      </c>
      <c r="N27" s="36" t="s">
        <v>169</v>
      </c>
      <c r="O27" s="36" t="s">
        <v>170</v>
      </c>
      <c r="P27" s="36" t="s">
        <v>171</v>
      </c>
      <c r="Q27" s="36" t="s">
        <v>172</v>
      </c>
      <c r="R27" s="36" t="s">
        <v>173</v>
      </c>
      <c r="S27" s="36" t="s">
        <v>5</v>
      </c>
      <c r="T27" s="151" t="s">
        <v>3</v>
      </c>
      <c r="U27" s="151" t="s">
        <v>4</v>
      </c>
      <c r="V27" s="151" t="s">
        <v>147</v>
      </c>
      <c r="W27" s="151" t="s">
        <v>151</v>
      </c>
      <c r="X27" s="151" t="s">
        <v>152</v>
      </c>
      <c r="Y27" s="151" t="s">
        <v>169</v>
      </c>
      <c r="Z27" s="151" t="s">
        <v>170</v>
      </c>
      <c r="AA27" s="151" t="s">
        <v>171</v>
      </c>
      <c r="AB27" s="151" t="s">
        <v>172</v>
      </c>
      <c r="AC27" s="151" t="s">
        <v>173</v>
      </c>
      <c r="AD27" s="151" t="s">
        <v>3</v>
      </c>
      <c r="AE27" s="151" t="s">
        <v>4</v>
      </c>
      <c r="AF27" s="151" t="s">
        <v>147</v>
      </c>
      <c r="AG27" s="151" t="s">
        <v>151</v>
      </c>
      <c r="AH27" s="151" t="s">
        <v>152</v>
      </c>
      <c r="AI27" s="151" t="s">
        <v>169</v>
      </c>
      <c r="AJ27" s="151" t="s">
        <v>170</v>
      </c>
      <c r="AK27" s="151" t="s">
        <v>171</v>
      </c>
      <c r="AL27" s="151" t="s">
        <v>172</v>
      </c>
      <c r="AM27" s="151" t="s">
        <v>173</v>
      </c>
      <c r="AN27" s="151" t="s">
        <v>3</v>
      </c>
      <c r="AO27" s="151" t="s">
        <v>4</v>
      </c>
      <c r="AP27" s="151" t="s">
        <v>147</v>
      </c>
      <c r="AQ27" s="151" t="s">
        <v>151</v>
      </c>
      <c r="AR27" s="151" t="s">
        <v>152</v>
      </c>
      <c r="AS27" s="151" t="s">
        <v>169</v>
      </c>
      <c r="AT27" s="151" t="s">
        <v>170</v>
      </c>
      <c r="AU27" s="151" t="s">
        <v>171</v>
      </c>
      <c r="AV27" s="151" t="s">
        <v>172</v>
      </c>
      <c r="AW27" s="151" t="s">
        <v>173</v>
      </c>
      <c r="AX27" s="151" t="s">
        <v>3</v>
      </c>
      <c r="AY27" s="151" t="s">
        <v>4</v>
      </c>
      <c r="AZ27" s="151" t="s">
        <v>147</v>
      </c>
      <c r="BA27" s="151" t="s">
        <v>151</v>
      </c>
      <c r="BB27" s="151" t="s">
        <v>152</v>
      </c>
      <c r="BC27" s="151" t="s">
        <v>169</v>
      </c>
      <c r="BD27" s="151" t="s">
        <v>170</v>
      </c>
      <c r="BE27" s="151" t="s">
        <v>171</v>
      </c>
      <c r="BF27" s="151" t="s">
        <v>172</v>
      </c>
      <c r="BG27" s="151" t="s">
        <v>173</v>
      </c>
    </row>
    <row r="28" spans="1:59" x14ac:dyDescent="0.25">
      <c r="A28" t="str">
        <f>VLOOKUP(C28,'Back-end'!$S$43:$T$55, 2, FALSE)</f>
        <v>PTS</v>
      </c>
      <c r="B28">
        <f>VLOOKUP(C28,'Back-end'!$S$43:$U$55, 3, FALSE)</f>
        <v>3</v>
      </c>
      <c r="C28" s="211" t="s">
        <v>153</v>
      </c>
      <c r="D28" s="211"/>
      <c r="E28" s="148">
        <v>41122</v>
      </c>
      <c r="F28" s="4">
        <v>43312</v>
      </c>
      <c r="G28" s="82">
        <v>1</v>
      </c>
      <c r="H28" s="147">
        <v>6750</v>
      </c>
      <c r="I28" s="2">
        <f>IF($F28&lt;I$17,0,IF(OR($A28="PTU",$A28="PTS",$A28="FTS"),(($G28*$H28*(COUNTIFS('Back-end'!$B$6:$B$125,"&gt;="&amp;$E28,'Back-end'!$J$6:$J$125,I$16,'Back-end'!$B$6:$B$125,"&lt;="&amp;I$18,'Back-end'!$B$6:$B$125,"&lt;="&amp;$F28,'Back-end'!$C$6:$C$125,"Summer")))/$B28)*IF(I$16="Year 1",1,POWER(CompInflator,RIGHT(I$16,1)-1)),
IF(OR($A28="PTA",$A28="FTA"),(($G28*$H28*(COUNTIFS('Back-end'!$B$6:$B$125,"&gt;="&amp;$E28,'Back-end'!$J$6:$J$125,I$16,'Back-end'!$B$6:$B$125,"&lt;="&amp;I$18,'Back-end'!$B$6:$B$125,"&lt;="&amp;$F28,'Back-end'!$C$6:$C$125,"Academic")))/$B28)*IF(I$16="Year 1",1,POWER(CompInflator,RIGHT(I$16,1)-1)),
IF($A28="PDA",$G28*$H28/$B28*(COUNTIFS('Back-end'!$D$6:$D$125,INDEX('Back-end'!$B$6:$D$125,MATCH(I$17,'Back-end'!$B$6:$B$125,0),3),'Back-end'!$J$6:$J$125,I$16,'Back-end'!$B$6:$B$125,"&gt;="&amp;$E28,'Back-end'!$B$6:$B$125,"&lt;="&amp;I$18,'Back-end'!$B$6:$B$125,"&lt;="&amp;$F28))*IF(I$16="Year 1",1,POWER(1.04,RIGHT(I$16,1)-1))+$G28*$H28/$B28*IF(MONTH(I$18)&lt;7,COUNTIFS('Back-end'!$D$6:$D$125,INDEX('Back-end'!$B$6:$D$125,MATCH(DATE(YEAR(I$18),MONTH(I$18),DAY(1)),'Back-end'!$B$6:$B$125,0),3),'Back-end'!$J$6:$J$125,I$16,'Back-end'!$B$6:$B$125,"&gt;="&amp;$E28,'Back-end'!$B$6:$B$125,"&lt;="&amp;I$18,'Back-end'!$B$6:$B$125,"&lt;="&amp;$F28),COUNTIFS('Back-end'!$D$6:$D$125,INDEX('Back-end'!$B$6:$D$125,MATCH(DATE(YEAR(I$18),MONTH(I$18),DAY(1)),'Back-end'!$B$6:$B$125,0),3),'Back-end'!$J$6:$J$125,I$16,'Back-end'!$B$6:$B$125,"&gt;="&amp;$E28,'Back-end'!$B$6:$B$125,"&lt;="&amp;I$18,'Back-end'!$B$6:$B$125,"&lt;="&amp;$F28))*IF(I$16="Year 1",1.04,POWER(1.04,RIGHT(I$16,1))),$G28*$H28*(COUNTIFS('Back-end'!$B$6:$B$125,"&gt;="&amp;$E28,'Back-end'!$J$6:$J$125,I$16,'Back-end'!$B$6:$B$125,"&lt;="&amp;I$18,'Back-end'!$B$6:$B$125,"&lt;="&amp;$F28))/$B28*IF(I$16="Year 1",1,POWER(CompInflator,RIGHT(I$16,1)-1))))))</f>
        <v>0</v>
      </c>
      <c r="J28" s="2">
        <f>IF($F28&lt;J$17,0,IF(OR($A28="PTU",$A28="PTS",$A28="FTS"),(($G28*$H28*(COUNTIFS('Back-end'!$B$6:$B$125,"&gt;="&amp;$E28,'Back-end'!$J$6:$J$125,J$16,'Back-end'!$B$6:$B$125,"&lt;="&amp;J$18,'Back-end'!$B$6:$B$125,"&lt;="&amp;$F28,'Back-end'!$C$6:$C$125,"Summer")))/$B28)*IF(J$16="Year 1",1,POWER(CompInflator,RIGHT(J$16,1)-1)),IF(OR($A28="PTA",$A28="FTA"),(($G28*$H28*(COUNTIFS('Back-end'!$B$6:$B$125,"&gt;="&amp;$E28,'Back-end'!$J$6:$J$125,J$16,'Back-end'!$B$6:$B$125,"&lt;="&amp;J$18,'Back-end'!$B$6:$B$125,"&lt;="&amp;$F28,'Back-end'!$C$6:$C$125,"Academic")))/$B28)*IF(J$16="Year 1",1,POWER(CompInflator,RIGHT(J$16,1)-1)),IF($A28="PDA",$G28*$H28/$B28*(COUNTIFS('Back-end'!$D$6:$D$125,INDEX('Back-end'!$B$6:$D$125,MATCH(J$17,'Back-end'!$B$6:$B$125,0),3),'Back-end'!$J$6:$J$125,J$16,'Back-end'!$B$6:$B$125,"&gt;="&amp;$E28,'Back-end'!$B$6:$B$125,"&lt;="&amp;J$18,'Back-end'!$B$6:$B$125,"&lt;="&amp;$F28))*IF(J$16="Year 1",1,POWER(1.04,RIGHT(J$16,1)-1))+$G28*$H28/$B28*IF(MONTH(J$18)&lt;7,COUNTIFS('Back-end'!$D$6:$D$125,INDEX('Back-end'!$B$6:$D$125,MATCH(DATE(YEAR(J$18),MONTH(J$18),DAY(1)),'Back-end'!$B$6:$B$125,0),3),'Back-end'!$J$6:$J$125,J$16,'Back-end'!$B$6:$B$125,"&gt;="&amp;$E28,'Back-end'!$B$6:$B$125,"&lt;="&amp;J$18,'Back-end'!$B$6:$B$125,"&lt;="&amp;$F28),COUNTIFS('Back-end'!$D$6:$D$125,INDEX('Back-end'!$B$6:$D$125,MATCH(DATE(YEAR(J$18),MONTH(J$18),DAY(1)),'Back-end'!$B$6:$B$125,0),3),'Back-end'!$J$6:$J$125,J$16,'Back-end'!$B$6:$B$125,"&gt;="&amp;$E28,'Back-end'!$B$6:$B$125,"&lt;="&amp;J$18,'Back-end'!$B$6:$B$125,"&lt;="&amp;$F28))*IF(J$16="Year 1",1.04,POWER(1.04,RIGHT(J$16,1))),$G28*$H28*(COUNTIFS('Back-end'!$B$6:$B$125,"&gt;="&amp;$E28,'Back-end'!$J$6:$J$125,J$16,'Back-end'!$B$6:$B$125,"&lt;="&amp;J$18,'Back-end'!$B$6:$B$125,"&lt;="&amp;$F28))/$B28*IF(J$16="Year 1",1,POWER(CompInflator,RIGHT(J$16,1)-1))))))</f>
        <v>0</v>
      </c>
      <c r="K28" s="2">
        <f>IF($F28&lt;K$17,0,IF(OR($A28="PTU",$A28="PTS",$A28="FTS"),(($G28*$H28*(COUNTIFS('Back-end'!$B$6:$B$125,"&gt;="&amp;$E28,'Back-end'!$J$6:$J$125,K$16,'Back-end'!$B$6:$B$125,"&lt;="&amp;K$18,'Back-end'!$B$6:$B$125,"&lt;="&amp;$F28,'Back-end'!$C$6:$C$125,"Summer")))/$B28)*IF(K$16="Year 1",1,POWER(CompInflator,RIGHT(K$16,1)-1)),IF(OR($A28="PTA",$A28="FTA"),(($G28*$H28*(COUNTIFS('Back-end'!$B$6:$B$125,"&gt;="&amp;$E28,'Back-end'!$J$6:$J$125,K$16,'Back-end'!$B$6:$B$125,"&lt;="&amp;K$18,'Back-end'!$B$6:$B$125,"&lt;="&amp;$F28,'Back-end'!$C$6:$C$125,"Academic")))/$B28)*IF(K$16="Year 1",1,POWER(CompInflator,RIGHT(K$16,1)-1)),IF($A28="PDA",$G28*$H28/$B28*(COUNTIFS('Back-end'!$D$6:$D$125,INDEX('Back-end'!$B$6:$D$125,MATCH(K$17,'Back-end'!$B$6:$B$125,0),3),'Back-end'!$J$6:$J$125,K$16,'Back-end'!$B$6:$B$125,"&gt;="&amp;$E28,'Back-end'!$B$6:$B$125,"&lt;="&amp;K$18,'Back-end'!$B$6:$B$125,"&lt;="&amp;$F28))*IF(K$16="Year 1",1,POWER(1.04,RIGHT(K$16,1)-1))+$G28*$H28/$B28*IF(MONTH(K$18)&lt;7,COUNTIFS('Back-end'!$D$6:$D$125,INDEX('Back-end'!$B$6:$D$125,MATCH(DATE(YEAR(K$18),MONTH(K$18),DAY(1)),'Back-end'!$B$6:$B$125,0),3),'Back-end'!$J$6:$J$125,K$16,'Back-end'!$B$6:$B$125,"&gt;="&amp;$E28,'Back-end'!$B$6:$B$125,"&lt;="&amp;K$18,'Back-end'!$B$6:$B$125,"&lt;="&amp;$F28),COUNTIFS('Back-end'!$D$6:$D$125,INDEX('Back-end'!$B$6:$D$125,MATCH(DATE(YEAR(K$18),MONTH(K$18),DAY(1)),'Back-end'!$B$6:$B$125,0),3),'Back-end'!$J$6:$J$125,K$16,'Back-end'!$B$6:$B$125,"&gt;="&amp;$E28,'Back-end'!$B$6:$B$125,"&lt;="&amp;K$18,'Back-end'!$B$6:$B$125,"&lt;="&amp;$F28))*IF(K$16="Year 1",1.04,POWER(1.04,RIGHT(K$16,1))),$G28*$H28*(COUNTIFS('Back-end'!$B$6:$B$125,"&gt;="&amp;$E28,'Back-end'!$J$6:$J$125,K$16,'Back-end'!$B$6:$B$125,"&lt;="&amp;K$18,'Back-end'!$B$6:$B$125,"&lt;="&amp;$F28))/$B28*IF(K$16="Year 1",1,POWER(CompInflator,RIGHT(K$16,1)-1))))))</f>
        <v>0</v>
      </c>
      <c r="L28" s="2">
        <f>IF($F28&lt;L$17,0,IF(OR($A28="PTU",$A28="PTS",$A28="FTS"),(($G28*$H28*(COUNTIFS('Back-end'!$B$6:$B$125,"&gt;="&amp;$E28,'Back-end'!$J$6:$J$125,L$16,'Back-end'!$B$6:$B$125,"&lt;="&amp;L$18,'Back-end'!$B$6:$B$125,"&lt;="&amp;$F28,'Back-end'!$C$6:$C$125,"Summer")))/$B28)*IF(L$16="Year 1",1,POWER(CompInflator,RIGHT(L$16,1)-1)),IF(OR($A28="PTA",$A28="FTA"),(($G28*$H28*(COUNTIFS('Back-end'!$B$6:$B$125,"&gt;="&amp;$E28,'Back-end'!$J$6:$J$125,L$16,'Back-end'!$B$6:$B$125,"&lt;="&amp;L$18,'Back-end'!$B$6:$B$125,"&lt;="&amp;$F28,'Back-end'!$C$6:$C$125,"Academic")))/$B28)*IF(L$16="Year 1",1,POWER(CompInflator,RIGHT(L$16,1)-1)),IF($A28="PDA",$G28*$H28/$B28*(COUNTIFS('Back-end'!$D$6:$D$125,INDEX('Back-end'!$B$6:$D$125,MATCH(L$17,'Back-end'!$B$6:$B$125,0),3),'Back-end'!$J$6:$J$125,L$16,'Back-end'!$B$6:$B$125,"&gt;="&amp;$E28,'Back-end'!$B$6:$B$125,"&lt;="&amp;L$18,'Back-end'!$B$6:$B$125,"&lt;="&amp;$F28))*IF(L$16="Year 1",1,POWER(1.04,RIGHT(L$16,1)-1))+$G28*$H28/$B28*IF(MONTH(L$18)&lt;7,COUNTIFS('Back-end'!$D$6:$D$125,INDEX('Back-end'!$B$6:$D$125,MATCH(DATE(YEAR(L$18),MONTH(L$18),DAY(1)),'Back-end'!$B$6:$B$125,0),3),'Back-end'!$J$6:$J$125,L$16,'Back-end'!$B$6:$B$125,"&gt;="&amp;$E28,'Back-end'!$B$6:$B$125,"&lt;="&amp;L$18,'Back-end'!$B$6:$B$125,"&lt;="&amp;$F28),COUNTIFS('Back-end'!$D$6:$D$125,INDEX('Back-end'!$B$6:$D$125,MATCH(DATE(YEAR(L$18),MONTH(L$18),DAY(1)),'Back-end'!$B$6:$B$125,0),3),'Back-end'!$J$6:$J$125,L$16,'Back-end'!$B$6:$B$125,"&gt;="&amp;$E28,'Back-end'!$B$6:$B$125,"&lt;="&amp;L$18,'Back-end'!$B$6:$B$125,"&lt;="&amp;$F28))*IF(L$16="Year 1",1.04,POWER(1.04,RIGHT(L$16,1))),$G28*$H28*(COUNTIFS('Back-end'!$B$6:$B$125,"&gt;="&amp;$E28,'Back-end'!$J$6:$J$125,L$16,'Back-end'!$B$6:$B$125,"&lt;="&amp;L$18,'Back-end'!$B$6:$B$125,"&lt;="&amp;$F28))/$B28*IF(L$16="Year 1",1,POWER(CompInflator,RIGHT(L$16,1)-1))))))</f>
        <v>0</v>
      </c>
      <c r="M28" s="2">
        <f>IF($F28&lt;M$17,0,IF(OR($A28="PTU",$A28="PTS",$A28="FTS"),(($G28*$H28*(COUNTIFS('Back-end'!$B$6:$B$125,"&gt;="&amp;$E28,'Back-end'!$J$6:$J$125,M$16,'Back-end'!$B$6:$B$125,"&lt;="&amp;M$18,'Back-end'!$B$6:$B$125,"&lt;="&amp;$F28,'Back-end'!$C$6:$C$125,"Summer")))/$B28)*IF(M$16="Year 1",1,POWER(CompInflator,RIGHT(M$16,1)-1)),IF(OR($A28="PTA",$A28="FTA"),(($G28*$H28*(COUNTIFS('Back-end'!$B$6:$B$125,"&gt;="&amp;$E28,'Back-end'!$J$6:$J$125,M$16,'Back-end'!$B$6:$B$125,"&lt;="&amp;M$18,'Back-end'!$B$6:$B$125,"&lt;="&amp;$F28,'Back-end'!$C$6:$C$125,"Academic")))/$B28)*IF(M$16="Year 1",1,POWER(CompInflator,RIGHT(M$16,1)-1)),IF($A28="PDA",$G28*$H28/$B28*(COUNTIFS('Back-end'!$D$6:$D$125,INDEX('Back-end'!$B$6:$D$125,MATCH(M$17,'Back-end'!$B$6:$B$125,0),3),'Back-end'!$J$6:$J$125,M$16,'Back-end'!$B$6:$B$125,"&gt;="&amp;$E28,'Back-end'!$B$6:$B$125,"&lt;="&amp;M$18,'Back-end'!$B$6:$B$125,"&lt;="&amp;$F28))*IF(M$16="Year 1",1,POWER(1.04,RIGHT(M$16,1)-1))+$G28*$H28/$B28*IF(MONTH(M$18)&lt;7,COUNTIFS('Back-end'!$D$6:$D$125,INDEX('Back-end'!$B$6:$D$125,MATCH(DATE(YEAR(M$18),MONTH(M$18),DAY(1)),'Back-end'!$B$6:$B$125,0),3),'Back-end'!$J$6:$J$125,M$16,'Back-end'!$B$6:$B$125,"&gt;="&amp;$E28,'Back-end'!$B$6:$B$125,"&lt;="&amp;M$18,'Back-end'!$B$6:$B$125,"&lt;="&amp;$F28),COUNTIFS('Back-end'!$D$6:$D$125,INDEX('Back-end'!$B$6:$D$125,MATCH(DATE(YEAR(M$18),MONTH(M$18),DAY(1)),'Back-end'!$B$6:$B$125,0),3),'Back-end'!$J$6:$J$125,M$16,'Back-end'!$B$6:$B$125,"&gt;="&amp;$E28,'Back-end'!$B$6:$B$125,"&lt;="&amp;M$18,'Back-end'!$B$6:$B$125,"&lt;="&amp;$F28))*IF(M$16="Year 1",1.04,POWER(1.04,RIGHT(M$16,1))),$G28*$H28*(COUNTIFS('Back-end'!$B$6:$B$125,"&gt;="&amp;$E28,'Back-end'!$J$6:$J$125,M$16,'Back-end'!$B$6:$B$125,"&lt;="&amp;M$18,'Back-end'!$B$6:$B$125,"&lt;="&amp;$F28))/$B28*IF(M$16="Year 1",1,POWER(CompInflator,RIGHT(M$16,1)-1))))))</f>
        <v>0</v>
      </c>
      <c r="N28" s="2">
        <f>IF($F28&lt;N$17,0,IF(OR($A28="PTU",$A28="PTS",$A28="FTS"),(($G28*$H28*(COUNTIFS('Back-end'!$B$6:$B$125,"&gt;="&amp;$E28,'Back-end'!$J$6:$J$125,N$16,'Back-end'!$B$6:$B$125,"&lt;="&amp;N$18,'Back-end'!$B$6:$B$125,"&lt;="&amp;$F28,'Back-end'!$C$6:$C$125,"Summer")))/$B28)*IF(N$16="Year 1",1,POWER(CompInflator,RIGHT(N$16,1)-1)),IF(OR($A28="PTA",$A28="FTA"),(($G28*$H28*(COUNTIFS('Back-end'!$B$6:$B$125,"&gt;="&amp;$E28,'Back-end'!$J$6:$J$125,N$16,'Back-end'!$B$6:$B$125,"&lt;="&amp;N$18,'Back-end'!$B$6:$B$125,"&lt;="&amp;$F28,'Back-end'!$C$6:$C$125,"Academic")))/$B28)*IF(N$16="Year 1",1,POWER(CompInflator,RIGHT(N$16,1)-1)),IF($A28="PDA",$G28*$H28/$B28*(COUNTIFS('Back-end'!$D$6:$D$125,INDEX('Back-end'!$B$6:$D$125,MATCH(N$17,'Back-end'!$B$6:$B$125,0),3),'Back-end'!$J$6:$J$125,N$16,'Back-end'!$B$6:$B$125,"&gt;="&amp;$E28,'Back-end'!$B$6:$B$125,"&lt;="&amp;N$18,'Back-end'!$B$6:$B$125,"&lt;="&amp;$F28))*IF(N$16="Year 1",1,POWER(1.04,RIGHT(N$16,1)-1))+$G28*$H28/$B28*IF(MONTH(N$18)&lt;7,COUNTIFS('Back-end'!$D$6:$D$125,INDEX('Back-end'!$B$6:$D$125,MATCH(DATE(YEAR(N$18),MONTH(N$18),DAY(1)),'Back-end'!$B$6:$B$125,0),3),'Back-end'!$J$6:$J$125,N$16,'Back-end'!$B$6:$B$125,"&gt;="&amp;$E28,'Back-end'!$B$6:$B$125,"&lt;="&amp;N$18,'Back-end'!$B$6:$B$125,"&lt;="&amp;$F28),COUNTIFS('Back-end'!$D$6:$D$125,INDEX('Back-end'!$B$6:$D$125,MATCH(DATE(YEAR(N$18),MONTH(N$18),DAY(1)),'Back-end'!$B$6:$B$125,0),3),'Back-end'!$J$6:$J$125,N$16,'Back-end'!$B$6:$B$125,"&gt;="&amp;$E28,'Back-end'!$B$6:$B$125,"&lt;="&amp;N$18,'Back-end'!$B$6:$B$125,"&lt;="&amp;$F28))*IF(N$16="Year 1",1.04,POWER(1.04,RIGHT(N$16,1))),$G28*$H28*(COUNTIFS('Back-end'!$B$6:$B$125,"&gt;="&amp;$E28,'Back-end'!$J$6:$J$125,N$16,'Back-end'!$B$6:$B$125,"&lt;="&amp;N$18,'Back-end'!$B$6:$B$125,"&lt;="&amp;$F28))/$B28*IF(N$16="Year 1",1,POWER(CompInflator,RIGHT(N$16,1)-1))))))</f>
        <v>0</v>
      </c>
      <c r="O28" s="2">
        <f>IF($F28&lt;O$17,0,IF(OR($A28="PTU",$A28="PTS",$A28="FTS"),(($G28*$H28*(COUNTIFS('Back-end'!$B$6:$B$125,"&gt;="&amp;$E28,'Back-end'!$J$6:$J$125,O$16,'Back-end'!$B$6:$B$125,"&lt;="&amp;O$18,'Back-end'!$B$6:$B$125,"&lt;="&amp;$F28,'Back-end'!$C$6:$C$125,"Summer")))/$B28)*IF(O$16="Year 1",1,POWER(CompInflator,RIGHT(O$16,1)-1)),IF(OR($A28="PTA",$A28="FTA"),(($G28*$H28*(COUNTIFS('Back-end'!$B$6:$B$125,"&gt;="&amp;$E28,'Back-end'!$J$6:$J$125,O$16,'Back-end'!$B$6:$B$125,"&lt;="&amp;O$18,'Back-end'!$B$6:$B$125,"&lt;="&amp;$F28,'Back-end'!$C$6:$C$125,"Academic")))/$B28)*IF(O$16="Year 1",1,POWER(CompInflator,RIGHT(O$16,1)-1)),IF($A28="PDA",$G28*$H28/$B28*(COUNTIFS('Back-end'!$D$6:$D$125,INDEX('Back-end'!$B$6:$D$125,MATCH(O$17,'Back-end'!$B$6:$B$125,0),3),'Back-end'!$J$6:$J$125,O$16,'Back-end'!$B$6:$B$125,"&gt;="&amp;$E28,'Back-end'!$B$6:$B$125,"&lt;="&amp;O$18,'Back-end'!$B$6:$B$125,"&lt;="&amp;$F28))*IF(O$16="Year 1",1,POWER(1.04,RIGHT(O$16,1)-1))+$G28*$H28/$B28*IF(MONTH(O$18)&lt;7,COUNTIFS('Back-end'!$D$6:$D$125,INDEX('Back-end'!$B$6:$D$125,MATCH(DATE(YEAR(O$18),MONTH(O$18),DAY(1)),'Back-end'!$B$6:$B$125,0),3),'Back-end'!$J$6:$J$125,O$16,'Back-end'!$B$6:$B$125,"&gt;="&amp;$E28,'Back-end'!$B$6:$B$125,"&lt;="&amp;O$18,'Back-end'!$B$6:$B$125,"&lt;="&amp;$F28),COUNTIFS('Back-end'!$D$6:$D$125,INDEX('Back-end'!$B$6:$D$125,MATCH(DATE(YEAR(O$18),MONTH(O$18),DAY(1)),'Back-end'!$B$6:$B$125,0),3),'Back-end'!$J$6:$J$125,O$16,'Back-end'!$B$6:$B$125,"&gt;="&amp;$E28,'Back-end'!$B$6:$B$125,"&lt;="&amp;O$18,'Back-end'!$B$6:$B$125,"&lt;="&amp;$F28))*IF(O$16="Year 1",1.04,POWER(1.04,RIGHT(O$16,1))),$G28*$H28*(COUNTIFS('Back-end'!$B$6:$B$125,"&gt;="&amp;$E28,'Back-end'!$J$6:$J$125,O$16,'Back-end'!$B$6:$B$125,"&lt;="&amp;O$18,'Back-end'!$B$6:$B$125,"&lt;="&amp;$F28))/$B28*IF(O$16="Year 1",1,POWER(CompInflator,RIGHT(O$16,1)-1))))))</f>
        <v>0</v>
      </c>
      <c r="P28" s="2">
        <f>IF($F28&lt;P$17,0,IF(OR($A28="PTU",$A28="PTS",$A28="FTS"),(($G28*$H28*(COUNTIFS('Back-end'!$B$6:$B$125,"&gt;="&amp;$E28,'Back-end'!$J$6:$J$125,P$16,'Back-end'!$B$6:$B$125,"&lt;="&amp;P$18,'Back-end'!$B$6:$B$125,"&lt;="&amp;$F28,'Back-end'!$C$6:$C$125,"Summer")))/$B28)*IF(P$16="Year 1",1,POWER(CompInflator,RIGHT(P$16,1)-1)),IF(OR($A28="PTA",$A28="FTA"),(($G28*$H28*(COUNTIFS('Back-end'!$B$6:$B$125,"&gt;="&amp;$E28,'Back-end'!$J$6:$J$125,P$16,'Back-end'!$B$6:$B$125,"&lt;="&amp;P$18,'Back-end'!$B$6:$B$125,"&lt;="&amp;$F28,'Back-end'!$C$6:$C$125,"Academic")))/$B28)*IF(P$16="Year 1",1,POWER(CompInflator,RIGHT(P$16,1)-1)),IF($A28="PDA",$G28*$H28/$B28*(COUNTIFS('Back-end'!$D$6:$D$125,INDEX('Back-end'!$B$6:$D$125,MATCH(P$17,'Back-end'!$B$6:$B$125,0),3),'Back-end'!$J$6:$J$125,P$16,'Back-end'!$B$6:$B$125,"&gt;="&amp;$E28,'Back-end'!$B$6:$B$125,"&lt;="&amp;P$18,'Back-end'!$B$6:$B$125,"&lt;="&amp;$F28))*IF(P$16="Year 1",1,POWER(1.04,RIGHT(P$16,1)-1))+$G28*$H28/$B28*IF(MONTH(P$18)&lt;7,COUNTIFS('Back-end'!$D$6:$D$125,INDEX('Back-end'!$B$6:$D$125,MATCH(DATE(YEAR(P$18),MONTH(P$18),DAY(1)),'Back-end'!$B$6:$B$125,0),3),'Back-end'!$J$6:$J$125,P$16,'Back-end'!$B$6:$B$125,"&gt;="&amp;$E28,'Back-end'!$B$6:$B$125,"&lt;="&amp;P$18,'Back-end'!$B$6:$B$125,"&lt;="&amp;$F28),COUNTIFS('Back-end'!$D$6:$D$125,INDEX('Back-end'!$B$6:$D$125,MATCH(DATE(YEAR(P$18),MONTH(P$18),DAY(1)),'Back-end'!$B$6:$B$125,0),3),'Back-end'!$J$6:$J$125,P$16,'Back-end'!$B$6:$B$125,"&gt;="&amp;$E28,'Back-end'!$B$6:$B$125,"&lt;="&amp;P$18,'Back-end'!$B$6:$B$125,"&lt;="&amp;$F28))*IF(P$16="Year 1",1.04,POWER(1.04,RIGHT(P$16,1))),$G28*$H28*(COUNTIFS('Back-end'!$B$6:$B$125,"&gt;="&amp;$E28,'Back-end'!$J$6:$J$125,P$16,'Back-end'!$B$6:$B$125,"&lt;="&amp;P$18,'Back-end'!$B$6:$B$125,"&lt;="&amp;$F28))/$B28*IF(P$16="Year 1",1,POWER(CompInflator,RIGHT(P$16,1)-1))))))</f>
        <v>0</v>
      </c>
      <c r="Q28" s="2">
        <f>IF($F28&lt;Q$17,0,IF(OR($A28="PTU",$A28="PTS",$A28="FTS"),(($G28*$H28*(COUNTIFS('Back-end'!$B$6:$B$125,"&gt;="&amp;$E28,'Back-end'!$J$6:$J$125,Q$16,'Back-end'!$B$6:$B$125,"&lt;="&amp;Q$18,'Back-end'!$B$6:$B$125,"&lt;="&amp;$F28,'Back-end'!$C$6:$C$125,"Summer")))/$B28)*IF(Q$16="Year 1",1,POWER(CompInflator,RIGHT(Q$16,1)-1)),IF(OR($A28="PTA",$A28="FTA"),(($G28*$H28*(COUNTIFS('Back-end'!$B$6:$B$125,"&gt;="&amp;$E28,'Back-end'!$J$6:$J$125,Q$16,'Back-end'!$B$6:$B$125,"&lt;="&amp;Q$18,'Back-end'!$B$6:$B$125,"&lt;="&amp;$F28,'Back-end'!$C$6:$C$125,"Academic")))/$B28)*IF(Q$16="Year 1",1,POWER(CompInflator,RIGHT(Q$16,1)-1)),IF($A28="PDA",$G28*$H28/$B28*(COUNTIFS('Back-end'!$D$6:$D$125,INDEX('Back-end'!$B$6:$D$125,MATCH(Q$17,'Back-end'!$B$6:$B$125,0),3),'Back-end'!$J$6:$J$125,Q$16,'Back-end'!$B$6:$B$125,"&gt;="&amp;$E28,'Back-end'!$B$6:$B$125,"&lt;="&amp;Q$18,'Back-end'!$B$6:$B$125,"&lt;="&amp;$F28))*IF(Q$16="Year 1",1,POWER(1.04,RIGHT(Q$16,1)-1))+$G28*$H28/$B28*IF(MONTH(Q$18)&lt;7,COUNTIFS('Back-end'!$D$6:$D$125,INDEX('Back-end'!$B$6:$D$125,MATCH(DATE(YEAR(Q$18),MONTH(Q$18),DAY(1)),'Back-end'!$B$6:$B$125,0),3),'Back-end'!$J$6:$J$125,Q$16,'Back-end'!$B$6:$B$125,"&gt;="&amp;$E28,'Back-end'!$B$6:$B$125,"&lt;="&amp;Q$18,'Back-end'!$B$6:$B$125,"&lt;="&amp;$F28),COUNTIFS('Back-end'!$D$6:$D$125,INDEX('Back-end'!$B$6:$D$125,MATCH(DATE(YEAR(Q$18),MONTH(Q$18),DAY(1)),'Back-end'!$B$6:$B$125,0),3),'Back-end'!$J$6:$J$125,Q$16,'Back-end'!$B$6:$B$125,"&gt;="&amp;$E28,'Back-end'!$B$6:$B$125,"&lt;="&amp;Q$18,'Back-end'!$B$6:$B$125,"&lt;="&amp;$F28))*IF(Q$16="Year 1",1.04,POWER(1.04,RIGHT(Q$16,1))),$G28*$H28*(COUNTIFS('Back-end'!$B$6:$B$125,"&gt;="&amp;$E28,'Back-end'!$J$6:$J$125,Q$16,'Back-end'!$B$6:$B$125,"&lt;="&amp;Q$18,'Back-end'!$B$6:$B$125,"&lt;="&amp;$F28))/$B28*IF(Q$16="Year 1",1,POWER(CompInflator,RIGHT(Q$16,1)-1))))))</f>
        <v>0</v>
      </c>
      <c r="R28" s="2" t="e">
        <f>IF($F28&lt;R$17,0,IF(OR($A28="PTU",$A28="PTS",$A28="FTS"),(($G28*$H28*(COUNTIFS('Back-end'!$B$6:$B$125,"&gt;="&amp;$E28,'Back-end'!$J$6:$J$125,R$16,'Back-end'!$B$6:$B$125,"&lt;="&amp;R$18,'Back-end'!$B$6:$B$125,"&lt;="&amp;$F28,'Back-end'!$C$6:$C$125,"Summer")))/$B28)*IF(R$16="Year 1",1,POWER(CompInflator,RIGHT(R$16,1)-1)),IF(OR($A28="PTA",$A28="FTA"),(($G28*$H28*(COUNTIFS('Back-end'!$B$6:$B$125,"&gt;="&amp;$E28,'Back-end'!$J$6:$J$125,R$16,'Back-end'!$B$6:$B$125,"&lt;="&amp;R$18,'Back-end'!$B$6:$B$125,"&lt;="&amp;$F28,'Back-end'!$C$6:$C$125,"Academic")))/$B28)*IF(R$16="Year 1",1,POWER(CompInflator,RIGHT(R$16,1)-1)),IF($A28="PDA",$G28*$H28/$B28*(COUNTIFS('Back-end'!$D$6:$D$125,INDEX('Back-end'!$B$6:$D$125,MATCH(R$17,'Back-end'!$B$6:$B$125,0),3),'Back-end'!$J$6:$J$125,R$16,'Back-end'!$B$6:$B$125,"&gt;="&amp;$E28,'Back-end'!$B$6:$B$125,"&lt;="&amp;R$18,'Back-end'!$B$6:$B$125,"&lt;="&amp;$F28))*IF(R$16="Year 1",1,POWER(1.04,RIGHT(R$16,1)-1))+$G28*$H28/$B28*IF(MONTH(R$18)&lt;7,COUNTIFS('Back-end'!$D$6:$D$125,INDEX('Back-end'!$B$6:$D$125,MATCH(DATE(YEAR(R$18),MONTH(R$18),DAY(1)),'Back-end'!$B$6:$B$125,0),3),'Back-end'!$J$6:$J$125,R$16,'Back-end'!$B$6:$B$125,"&gt;="&amp;$E28,'Back-end'!$B$6:$B$125,"&lt;="&amp;R$18,'Back-end'!$B$6:$B$125,"&lt;="&amp;$F28),COUNTIFS('Back-end'!$D$6:$D$125,INDEX('Back-end'!$B$6:$D$125,MATCH(DATE(YEAR(R$18),MONTH(R$18),DAY(1)),'Back-end'!$B$6:$B$125,0),3),'Back-end'!$J$6:$J$125,R$16,'Back-end'!$B$6:$B$125,"&gt;="&amp;$E28,'Back-end'!$B$6:$B$125,"&lt;="&amp;R$18,'Back-end'!$B$6:$B$125,"&lt;="&amp;$F28))*IF(R$16="Year 1",1.04,POWER(1.04,RIGHT(R$16,1))),$G28*$H28*(COUNTIFS('Back-end'!$B$6:$B$125,"&gt;="&amp;$E28,'Back-end'!$J$6:$J$125,R$16,'Back-end'!$B$6:$B$125,"&lt;="&amp;R$18,'Back-end'!$B$6:$B$125,"&lt;="&amp;$F28))/$B28*IF(R$16="Year 1",1,POWER(CompInflator,RIGHT(R$16,1)-1))))))</f>
        <v>#DIV/0!</v>
      </c>
      <c r="S28" s="91" t="e">
        <f>SUM(I28:R28)</f>
        <v>#DIV/0!</v>
      </c>
      <c r="T28" s="153">
        <f>IF(N(I$17)&gt;0,IF(OR($A28="PTS",$A28="PTG",$A28="PTU"),IF(MONTH(I$17)&lt;7,($G28*$H28/$B28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28,'Back-end'!$B$6:$B$125,"&lt;="&amp;I$18,'Back-end'!$B$6:$B$125,"&lt;="&amp;$F28,'Back-end'!$B$6:$B$125,"&gt;="&amp;I$17)),
IF(MONTH(I$18)=7,
(($G28*$H28/$B28*INDEX('Back-end'!$T$23:$X$29,MATCH("PTS",'Back-end'!$S$23:$S$29,0),MATCH(INDEX('Back-end'!$B$6:$E$125,MATCH(DATE(YEAR(I$18),MONTH(I$18),DAY(1)),'Back-end'!$B$6:$B$125,0),4),'Back-end'!$T$22:$X$22,0))
*COUNTIFS('Back-end'!$C$6:$C$125,"Summer",'Back-end'!$D$6:$D$125,INDEX('Back-end'!$B$6:$E$125,MATCH(DATE(YEAR(I$18),MONTH(I$18)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,MONTH(I$17),DAY(1)),'Back-end'!$B$6:$B$125,0),4),'Back-end'!$T$22:$X$22,0))),0,INDEX('Back-end'!$T$23:$X$29,MATCH("PTS",'Back-end'!$S$23:$S$29,0),MATCH(INDEX('Back-end'!$B$6:$E$125,MATCH(DATE(YEAR(I$17),MONTH(I$17),DAY(1)),'Back-end'!$B$6:$B$125,0),4),'Back-end'!$T$22:$X$22,0)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),
(($G28*$H28/$B28*INDEX('Back-end'!$T$23:$X$29,MATCH("PTS",'Back-end'!$S$23:$S$29,0),MATCH(INDEX('Back-end'!$B$6:$E$125,MATCH(DATE(YEAR(I$17),MONTH(I$17),DAY(1)),'Back-end'!$B$6:$B$125,0),4),'Back-end'!$T$22:$X$22,0))
*COUNTIFS('Back-end'!$C$6:$C$125,"Summer",'Back-end'!$D$6:$D$125,INDEX('Back-end'!$B$6:$E$125,MATCH(DATE(YEAR(I$17),MONTH(I$17),DAY(1)),'Back-end'!$B$6:$B$125,0),4),'Back-end'!$J$6:$J$125,I$16,'Back-end'!$B$6:$B$125,"&gt;="&amp;$E28,'Back-end'!$B$6:$B$125,"&lt;="&amp;I$18,'Back-end'!$B$6:$B$125,"&lt;="&amp;$F28,'Back-end'!$B$6:$B$125,"&gt;="&amp;I$17))+
($G28*$H28/$B28*IF(ISERROR(INDEX('Back-end'!$T$23:$X$29,MATCH("PTS",'Back-end'!$S$23:$S$29,0),MATCH(INDEX('Back-end'!$B$6:$E$125,MATCH(DATE(YEAR(I$17)+1,MONTH(I$17),DAY(1)),'Back-end'!$B$6:$B$125,0),4),'Back-end'!$T$22:$X$22,0))),0,INDEX('Back-end'!$T$23:$X$29,MATCH("PTS",'Back-end'!$S$23:$S$29,0),MATCH(INDEX('Back-end'!$B$6:$E$125,MATCH(DATE(YEAR(I$17)+1,MONTH(I$17),DAY(1)),'Back-end'!$B$6:$B$125,0),4),'Back-end'!$T$22:$X$22,0)))
*COUNTIFS('Back-end'!$C$6:$C$125,"Summer",'Back-end'!$D$6:$D$125,INDEX('Back-end'!$B$6:$E$125,MATCH(DATE(YEAR(I$17)+1,MONTH(I$17),DAY(1)),'Back-end'!$B$6:$B$125,0),4),'Back-end'!$J$6:$J$125,I$16,'Back-end'!$B$6:$B$125,"&gt;="&amp;$E28,'Back-end'!$B$6:$B$125,"&lt;="&amp;I$18,'Back-end'!$B$6:$B$125,"&lt;="&amp;$F28,'Back-end'!$B$6:$B$125,"&gt;="&amp;I$17)))))),0)</f>
        <v>0</v>
      </c>
      <c r="U28" s="153" t="e">
        <f>IF(N(J$17)&gt;0,IF(OR($A28="PTS",$A28="PTG",$A28="PTU"),IF(MONTH(J$17)&lt;7,($G28*$H28/$B28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28,'Back-end'!$B$6:$B$125,"&lt;="&amp;J$18,'Back-end'!$B$6:$B$125,"&lt;="&amp;$F28,'Back-end'!$B$6:$B$125,"&gt;="&amp;J$17)),
IF(MONTH(J$18)=7,
(($G28*$H28/$B28*INDEX('Back-end'!$T$23:$X$29,MATCH("PTS",'Back-end'!$S$23:$S$29,0),MATCH(INDEX('Back-end'!$B$6:$E$125,MATCH(DATE(YEAR(J$18),MONTH(J$18),DAY(1)),'Back-end'!$B$6:$B$125,0),4),'Back-end'!$T$22:$X$22,0))
*COUNTIFS('Back-end'!$C$6:$C$125,"Summer",'Back-end'!$D$6:$D$125,INDEX('Back-end'!$B$6:$E$125,MATCH(DATE(YEAR(J$18),MONTH(J$18)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,MONTH(J$17),DAY(1)),'Back-end'!$B$6:$B$125,0),4),'Back-end'!$T$22:$X$22,0))),0,INDEX('Back-end'!$T$23:$X$29,MATCH("PTS",'Back-end'!$S$23:$S$29,0),MATCH(INDEX('Back-end'!$B$6:$E$125,MATCH(DATE(YEAR(J$17),MONTH(J$17),DAY(1)),'Back-end'!$B$6:$B$125,0),4),'Back-end'!$T$22:$X$22,0)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),
(($G28*$H28/$B28*INDEX('Back-end'!$T$23:$X$29,MATCH("PTS",'Back-end'!$S$23:$S$29,0),MATCH(INDEX('Back-end'!$B$6:$E$125,MATCH(DATE(YEAR(J$17),MONTH(J$17),DAY(1)),'Back-end'!$B$6:$B$125,0),4),'Back-end'!$T$22:$X$22,0))
*COUNTIFS('Back-end'!$C$6:$C$125,"Summer",'Back-end'!$D$6:$D$125,INDEX('Back-end'!$B$6:$E$125,MATCH(DATE(YEAR(J$17),MONTH(J$17),DAY(1)),'Back-end'!$B$6:$B$125,0),4),'Back-end'!$J$6:$J$125,J$16,'Back-end'!$B$6:$B$125,"&gt;="&amp;$E28,'Back-end'!$B$6:$B$125,"&lt;="&amp;J$18,'Back-end'!$B$6:$B$125,"&lt;="&amp;$F28,'Back-end'!$B$6:$B$125,"&gt;="&amp;J$17))+
($G28*$H28/$B28*IF(ISERROR(INDEX('Back-end'!$T$23:$X$29,MATCH("PTS",'Back-end'!$S$23:$S$29,0),MATCH(INDEX('Back-end'!$B$6:$E$125,MATCH(DATE(YEAR(J$17)+1,MONTH(J$17),DAY(1)),'Back-end'!$B$6:$B$125,0),4),'Back-end'!$T$22:$X$22,0))),0,INDEX('Back-end'!$T$23:$X$29,MATCH("PTS",'Back-end'!$S$23:$S$29,0),MATCH(INDEX('Back-end'!$B$6:$E$125,MATCH(DATE(YEAR(J$17)+1,MONTH(J$17),DAY(1)),'Back-end'!$B$6:$B$125,0),4),'Back-end'!$T$22:$X$22,0)))
*COUNTIFS('Back-end'!$C$6:$C$125,"Summer",'Back-end'!$D$6:$D$125,INDEX('Back-end'!$B$6:$E$125,MATCH(DATE(YEAR(J$17)+1,MONTH(J$17),DAY(1)),'Back-end'!$B$6:$B$125,0),4),'Back-end'!$J$6:$J$125,J$16,'Back-end'!$B$6:$B$125,"&gt;="&amp;$E28,'Back-end'!$B$6:$B$125,"&lt;="&amp;J$18,'Back-end'!$B$6:$B$125,"&lt;="&amp;$F28,'Back-end'!$B$6:$B$125,"&gt;="&amp;J$17)))))),0)</f>
        <v>#N/A</v>
      </c>
      <c r="V28" s="153" t="e">
        <f>IF(N(K$17)&gt;0,IF(OR($A28="PTS",$A28="PTG",$A28="PTU"),IF(MONTH(K$17)&lt;7,($G28*$H28/$B28*INDEX('Back-end'!$T$23:$X$29,MATCH("PTS",'Back-end'!$S$23:$S$29,0),MATCH(INDEX('Back-end'!$B$6:$E$125,MATCH(DATE(YEAR(K$17),MONTH(K$17),DAY(1)),'Back-end'!$B$6:$B$125,0),4),'Back-end'!$T$22:$X$22,0))
*COUNTIFS('Back-end'!$C$6:$C$125,"Summer",'Back-end'!$D$6:$D$125,INDEX('Back-end'!$B$6:$E$125,MATCH(DATE(YEAR(K$17),MONTH(K$17),DAY(1)),'Back-end'!$B$6:$B$125,0),4),'Back-end'!$J$6:$J$125,K$16,'Back-end'!$B$6:$B$125,"&gt;="&amp;$E28,'Back-end'!$B$6:$B$125,"&lt;="&amp;K$18,'Back-end'!$B$6:$B$125,"&lt;="&amp;$F28,'Back-end'!$B$6:$B$125,"&gt;="&amp;K$17))+
($G28*$H28/$B28*IF(ISERROR(INDEX('Back-end'!$T$23:$X$29,MATCH("PTS",'Back-end'!$S$23:$S$29,0),MATCH(INDEX('Back-end'!$B$6:$E$125,MATCH(DATE(YEAR(K$17)+1,MONTH(K$17),DAY(1)),'Back-end'!$B$6:$B$125,0),4),'Back-end'!$T$22:$X$22,0))),0,INDEX('Back-end'!$T$23:$X$29,MATCH("PTS",'Back-end'!$S$23:$S$29,0),MATCH(INDEX('Back-end'!$B$6:$E$125,MATCH(DATE(YEAR(K$17)+1,MONTH(K$17),DAY(1)),'Back-end'!$B$6:$B$125,0),4),'Back-end'!$T$22:$X$22,0)))
*COUNTIFS('Back-end'!$C$6:$C$125,"Summer",'Back-end'!$D$6:$D$125,INDEX('Back-end'!$B$6:$E$125,MATCH(DATE(YEAR(K$17)+1,MONTH(K$17),DAY(1)),'Back-end'!$B$6:$B$125,0),4),'Back-end'!$J$6:$J$125,K$16,'Back-end'!$B$6:$B$125,"&gt;="&amp;$E28,'Back-end'!$B$6:$B$125,"&lt;="&amp;K$18,'Back-end'!$B$6:$B$125,"&lt;="&amp;$F28,'Back-end'!$B$6:$B$125,"&gt;="&amp;K$17)),
IF(MONTH(K$18)=7,
(($G28*$H28/$B28*INDEX('Back-end'!$T$23:$X$29,MATCH("PTS",'Back-end'!$S$23:$S$29,0),MATCH(INDEX('Back-end'!$B$6:$E$125,MATCH(DATE(YEAR(K$18),MONTH(K$18),DAY(1)),'Back-end'!$B$6:$B$125,0),4),'Back-end'!$T$22:$X$22,0))
*COUNTIFS('Back-end'!$C$6:$C$125,"Summer",'Back-end'!$D$6:$D$125,INDEX('Back-end'!$B$6:$E$125,MATCH(DATE(YEAR(K$18),MONTH(K$18),DAY(1)),'Back-end'!$B$6:$B$125,0),4),'Back-end'!$J$6:$J$125,K$16,'Back-end'!$B$6:$B$125,"&gt;="&amp;$E28,'Back-end'!$B$6:$B$125,"&lt;="&amp;K$18,'Back-end'!$B$6:$B$125,"&lt;="&amp;$F28,'Back-end'!$B$6:$B$125,"&gt;="&amp;K$17))+
($G28*$H28/$B28*IF(ISERROR(INDEX('Back-end'!$T$23:$X$29,MATCH("PTS",'Back-end'!$S$23:$S$29,0),MATCH(INDEX('Back-end'!$B$6:$E$125,MATCH(DATE(YEAR(K$17),MONTH(K$17),DAY(1)),'Back-end'!$B$6:$B$125,0),4),'Back-end'!$T$22:$X$22,0))),0,INDEX('Back-end'!$T$23:$X$29,MATCH("PTS",'Back-end'!$S$23:$S$29,0),MATCH(INDEX('Back-end'!$B$6:$E$125,MATCH(DATE(YEAR(K$17),MONTH(K$17),DAY(1)),'Back-end'!$B$6:$B$125,0),4),'Back-end'!$T$22:$X$22,0)))
*COUNTIFS('Back-end'!$C$6:$C$125,"Summer",'Back-end'!$D$6:$D$125,INDEX('Back-end'!$B$6:$E$125,MATCH(DATE(YEAR(K$17),MONTH(K$17),DAY(1)),'Back-end'!$B$6:$B$125,0),4),'Back-end'!$J$6:$J$125,K$16,'Back-end'!$B$6:$B$125,"&gt;="&amp;$E28,'Back-end'!$B$6:$B$125,"&lt;="&amp;K$18,'Back-end'!$B$6:$B$125,"&lt;="&amp;$F28,'Back-end'!$B$6:$B$125,"&gt;="&amp;K$17))),
(($G28*$H28/$B28*INDEX('Back-end'!$T$23:$X$29,MATCH("PTS",'Back-end'!$S$23:$S$29,0),MATCH(INDEX('Back-end'!$B$6:$E$125,MATCH(DATE(YEAR(K$17),MONTH(K$17),DAY(1)),'Back-end'!$B$6:$B$125,0),4),'Back-end'!$T$22:$X$22,0))
*COUNTIFS('Back-end'!$C$6:$C$125,"Summer",'Back-end'!$D$6:$D$125,INDEX('Back-end'!$B$6:$E$125,MATCH(DATE(YEAR(K$17),MONTH(K$17),DAY(1)),'Back-end'!$B$6:$B$125,0),4),'Back-end'!$J$6:$J$125,K$16,'Back-end'!$B$6:$B$125,"&gt;="&amp;$E28,'Back-end'!$B$6:$B$125,"&lt;="&amp;K$18,'Back-end'!$B$6:$B$125,"&lt;="&amp;$F28,'Back-end'!$B$6:$B$125,"&gt;="&amp;K$17))+
($G28*$H28/$B28*IF(ISERROR(INDEX('Back-end'!$T$23:$X$29,MATCH("PTS",'Back-end'!$S$23:$S$29,0),MATCH(INDEX('Back-end'!$B$6:$E$125,MATCH(DATE(YEAR(K$17)+1,MONTH(K$17),DAY(1)),'Back-end'!$B$6:$B$125,0),4),'Back-end'!$T$22:$X$22,0))),0,INDEX('Back-end'!$T$23:$X$29,MATCH("PTS",'Back-end'!$S$23:$S$29,0),MATCH(INDEX('Back-end'!$B$6:$E$125,MATCH(DATE(YEAR(K$17)+1,MONTH(K$17),DAY(1)),'Back-end'!$B$6:$B$125,0),4),'Back-end'!$T$22:$X$22,0)))
*COUNTIFS('Back-end'!$C$6:$C$125,"Summer",'Back-end'!$D$6:$D$125,INDEX('Back-end'!$B$6:$E$125,MATCH(DATE(YEAR(K$17)+1,MONTH(K$17),DAY(1)),'Back-end'!$B$6:$B$125,0),4),'Back-end'!$J$6:$J$125,K$16,'Back-end'!$B$6:$B$125,"&gt;="&amp;$E28,'Back-end'!$B$6:$B$125,"&lt;="&amp;K$18,'Back-end'!$B$6:$B$125,"&lt;="&amp;$F28,'Back-end'!$B$6:$B$125,"&gt;="&amp;K$17)))))),0)</f>
        <v>#N/A</v>
      </c>
      <c r="W28" s="153" t="e">
        <f>IF(N(L$17)&gt;0,IF(OR($A28="PTS",$A28="PTG",$A28="PTU"),IF(MONTH(L$17)&lt;7,($G28*$H28/$B28*INDEX('Back-end'!$T$23:$X$29,MATCH("PTS",'Back-end'!$S$23:$S$29,0),MATCH(INDEX('Back-end'!$B$6:$E$125,MATCH(DATE(YEAR(L$17),MONTH(L$17),DAY(1)),'Back-end'!$B$6:$B$125,0),4),'Back-end'!$T$22:$X$22,0))
*COUNTIFS('Back-end'!$C$6:$C$125,"Summer",'Back-end'!$D$6:$D$125,INDEX('Back-end'!$B$6:$E$125,MATCH(DATE(YEAR(L$17),MONTH(L$17),DAY(1)),'Back-end'!$B$6:$B$125,0),4),'Back-end'!$J$6:$J$125,L$16,'Back-end'!$B$6:$B$125,"&gt;="&amp;$E28,'Back-end'!$B$6:$B$125,"&lt;="&amp;L$18,'Back-end'!$B$6:$B$125,"&lt;="&amp;$F28,'Back-end'!$B$6:$B$125,"&gt;="&amp;L$17))+
($G28*$H28/$B28*IF(ISERROR(INDEX('Back-end'!$T$23:$X$29,MATCH("PTS",'Back-end'!$S$23:$S$29,0),MATCH(INDEX('Back-end'!$B$6:$E$125,MATCH(DATE(YEAR(L$17)+1,MONTH(L$17),DAY(1)),'Back-end'!$B$6:$B$125,0),4),'Back-end'!$T$22:$X$22,0))),0,INDEX('Back-end'!$T$23:$X$29,MATCH("PTS",'Back-end'!$S$23:$S$29,0),MATCH(INDEX('Back-end'!$B$6:$E$125,MATCH(DATE(YEAR(L$17)+1,MONTH(L$17),DAY(1)),'Back-end'!$B$6:$B$125,0),4),'Back-end'!$T$22:$X$22,0)))
*COUNTIFS('Back-end'!$C$6:$C$125,"Summer",'Back-end'!$D$6:$D$125,INDEX('Back-end'!$B$6:$E$125,MATCH(DATE(YEAR(L$17)+1,MONTH(L$17),DAY(1)),'Back-end'!$B$6:$B$125,0),4),'Back-end'!$J$6:$J$125,L$16,'Back-end'!$B$6:$B$125,"&gt;="&amp;$E28,'Back-end'!$B$6:$B$125,"&lt;="&amp;L$18,'Back-end'!$B$6:$B$125,"&lt;="&amp;$F28,'Back-end'!$B$6:$B$125,"&gt;="&amp;L$17)),
IF(MONTH(L$18)=7,
(($G28*$H28/$B28*INDEX('Back-end'!$T$23:$X$29,MATCH("PTS",'Back-end'!$S$23:$S$29,0),MATCH(INDEX('Back-end'!$B$6:$E$125,MATCH(DATE(YEAR(L$18),MONTH(L$18),DAY(1)),'Back-end'!$B$6:$B$125,0),4),'Back-end'!$T$22:$X$22,0))
*COUNTIFS('Back-end'!$C$6:$C$125,"Summer",'Back-end'!$D$6:$D$125,INDEX('Back-end'!$B$6:$E$125,MATCH(DATE(YEAR(L$18),MONTH(L$18),DAY(1)),'Back-end'!$B$6:$B$125,0),4),'Back-end'!$J$6:$J$125,L$16,'Back-end'!$B$6:$B$125,"&gt;="&amp;$E28,'Back-end'!$B$6:$B$125,"&lt;="&amp;L$18,'Back-end'!$B$6:$B$125,"&lt;="&amp;$F28,'Back-end'!$B$6:$B$125,"&gt;="&amp;L$17))+
($G28*$H28/$B28*IF(ISERROR(INDEX('Back-end'!$T$23:$X$29,MATCH("PTS",'Back-end'!$S$23:$S$29,0),MATCH(INDEX('Back-end'!$B$6:$E$125,MATCH(DATE(YEAR(L$17),MONTH(L$17),DAY(1)),'Back-end'!$B$6:$B$125,0),4),'Back-end'!$T$22:$X$22,0))),0,INDEX('Back-end'!$T$23:$X$29,MATCH("PTS",'Back-end'!$S$23:$S$29,0),MATCH(INDEX('Back-end'!$B$6:$E$125,MATCH(DATE(YEAR(L$17),MONTH(L$17),DAY(1)),'Back-end'!$B$6:$B$125,0),4),'Back-end'!$T$22:$X$22,0)))
*COUNTIFS('Back-end'!$C$6:$C$125,"Summer",'Back-end'!$D$6:$D$125,INDEX('Back-end'!$B$6:$E$125,MATCH(DATE(YEAR(L$17),MONTH(L$17),DAY(1)),'Back-end'!$B$6:$B$125,0),4),'Back-end'!$J$6:$J$125,L$16,'Back-end'!$B$6:$B$125,"&gt;="&amp;$E28,'Back-end'!$B$6:$B$125,"&lt;="&amp;L$18,'Back-end'!$B$6:$B$125,"&lt;="&amp;$F28,'Back-end'!$B$6:$B$125,"&gt;="&amp;L$17))),
(($G28*$H28/$B28*INDEX('Back-end'!$T$23:$X$29,MATCH("PTS",'Back-end'!$S$23:$S$29,0),MATCH(INDEX('Back-end'!$B$6:$E$125,MATCH(DATE(YEAR(L$17),MONTH(L$17),DAY(1)),'Back-end'!$B$6:$B$125,0),4),'Back-end'!$T$22:$X$22,0))
*COUNTIFS('Back-end'!$C$6:$C$125,"Summer",'Back-end'!$D$6:$D$125,INDEX('Back-end'!$B$6:$E$125,MATCH(DATE(YEAR(L$17),MONTH(L$17),DAY(1)),'Back-end'!$B$6:$B$125,0),4),'Back-end'!$J$6:$J$125,L$16,'Back-end'!$B$6:$B$125,"&gt;="&amp;$E28,'Back-end'!$B$6:$B$125,"&lt;="&amp;L$18,'Back-end'!$B$6:$B$125,"&lt;="&amp;$F28,'Back-end'!$B$6:$B$125,"&gt;="&amp;L$17))+
($G28*$H28/$B28*IF(ISERROR(INDEX('Back-end'!$T$23:$X$29,MATCH("PTS",'Back-end'!$S$23:$S$29,0),MATCH(INDEX('Back-end'!$B$6:$E$125,MATCH(DATE(YEAR(L$17)+1,MONTH(L$17),DAY(1)),'Back-end'!$B$6:$B$125,0),4),'Back-end'!$T$22:$X$22,0))),0,INDEX('Back-end'!$T$23:$X$29,MATCH("PTS",'Back-end'!$S$23:$S$29,0),MATCH(INDEX('Back-end'!$B$6:$E$125,MATCH(DATE(YEAR(L$17)+1,MONTH(L$17),DAY(1)),'Back-end'!$B$6:$B$125,0),4),'Back-end'!$T$22:$X$22,0)))
*COUNTIFS('Back-end'!$C$6:$C$125,"Summer",'Back-end'!$D$6:$D$125,INDEX('Back-end'!$B$6:$E$125,MATCH(DATE(YEAR(L$17)+1,MONTH(L$17),DAY(1)),'Back-end'!$B$6:$B$125,0),4),'Back-end'!$J$6:$J$125,L$16,'Back-end'!$B$6:$B$125,"&gt;="&amp;$E28,'Back-end'!$B$6:$B$125,"&lt;="&amp;L$18,'Back-end'!$B$6:$B$125,"&lt;="&amp;$F28,'Back-end'!$B$6:$B$125,"&gt;="&amp;L$17)))))),0)</f>
        <v>#N/A</v>
      </c>
      <c r="X28" s="153" t="e">
        <f>IF(N(M$17)&gt;0,IF(OR($A28="PTS",$A28="PTG",$A28="PTU"),IF(MONTH(M$17)&lt;7,($G28*$H28/$B28*INDEX('Back-end'!$T$23:$X$29,MATCH("PTS",'Back-end'!$S$23:$S$29,0),MATCH(INDEX('Back-end'!$B$6:$E$125,MATCH(DATE(YEAR(M$17),MONTH(M$17),DAY(1)),'Back-end'!$B$6:$B$125,0),4),'Back-end'!$T$22:$X$22,0))
*COUNTIFS('Back-end'!$C$6:$C$125,"Summer",'Back-end'!$D$6:$D$125,INDEX('Back-end'!$B$6:$E$125,MATCH(DATE(YEAR(M$17),MONTH(M$17),DAY(1)),'Back-end'!$B$6:$B$125,0),4),'Back-end'!$J$6:$J$125,M$16,'Back-end'!$B$6:$B$125,"&gt;="&amp;$E28,'Back-end'!$B$6:$B$125,"&lt;="&amp;M$18,'Back-end'!$B$6:$B$125,"&lt;="&amp;$F28,'Back-end'!$B$6:$B$125,"&gt;="&amp;M$17))+
($G28*$H28/$B28*IF(ISERROR(INDEX('Back-end'!$T$23:$X$29,MATCH("PTS",'Back-end'!$S$23:$S$29,0),MATCH(INDEX('Back-end'!$B$6:$E$125,MATCH(DATE(YEAR(M$17)+1,MONTH(M$17),DAY(1)),'Back-end'!$B$6:$B$125,0),4),'Back-end'!$T$22:$X$22,0))),0,INDEX('Back-end'!$T$23:$X$29,MATCH("PTS",'Back-end'!$S$23:$S$29,0),MATCH(INDEX('Back-end'!$B$6:$E$125,MATCH(DATE(YEAR(M$17)+1,MONTH(M$17),DAY(1)),'Back-end'!$B$6:$B$125,0),4),'Back-end'!$T$22:$X$22,0)))
*COUNTIFS('Back-end'!$C$6:$C$125,"Summer",'Back-end'!$D$6:$D$125,INDEX('Back-end'!$B$6:$E$125,MATCH(DATE(YEAR(M$17)+1,MONTH(M$17),DAY(1)),'Back-end'!$B$6:$B$125,0),4),'Back-end'!$J$6:$J$125,M$16,'Back-end'!$B$6:$B$125,"&gt;="&amp;$E28,'Back-end'!$B$6:$B$125,"&lt;="&amp;M$18,'Back-end'!$B$6:$B$125,"&lt;="&amp;$F28,'Back-end'!$B$6:$B$125,"&gt;="&amp;M$17)),
IF(MONTH(M$18)=7,
(($G28*$H28/$B28*INDEX('Back-end'!$T$23:$X$29,MATCH("PTS",'Back-end'!$S$23:$S$29,0),MATCH(INDEX('Back-end'!$B$6:$E$125,MATCH(DATE(YEAR(M$18),MONTH(M$18),DAY(1)),'Back-end'!$B$6:$B$125,0),4),'Back-end'!$T$22:$X$22,0))
*COUNTIFS('Back-end'!$C$6:$C$125,"Summer",'Back-end'!$D$6:$D$125,INDEX('Back-end'!$B$6:$E$125,MATCH(DATE(YEAR(M$18),MONTH(M$18),DAY(1)),'Back-end'!$B$6:$B$125,0),4),'Back-end'!$J$6:$J$125,M$16,'Back-end'!$B$6:$B$125,"&gt;="&amp;$E28,'Back-end'!$B$6:$B$125,"&lt;="&amp;M$18,'Back-end'!$B$6:$B$125,"&lt;="&amp;$F28,'Back-end'!$B$6:$B$125,"&gt;="&amp;M$17))+
($G28*$H28/$B28*IF(ISERROR(INDEX('Back-end'!$T$23:$X$29,MATCH("PTS",'Back-end'!$S$23:$S$29,0),MATCH(INDEX('Back-end'!$B$6:$E$125,MATCH(DATE(YEAR(M$17),MONTH(M$17),DAY(1)),'Back-end'!$B$6:$B$125,0),4),'Back-end'!$T$22:$X$22,0))),0,INDEX('Back-end'!$T$23:$X$29,MATCH("PTS",'Back-end'!$S$23:$S$29,0),MATCH(INDEX('Back-end'!$B$6:$E$125,MATCH(DATE(YEAR(M$17),MONTH(M$17),DAY(1)),'Back-end'!$B$6:$B$125,0),4),'Back-end'!$T$22:$X$22,0)))
*COUNTIFS('Back-end'!$C$6:$C$125,"Summer",'Back-end'!$D$6:$D$125,INDEX('Back-end'!$B$6:$E$125,MATCH(DATE(YEAR(M$17),MONTH(M$17),DAY(1)),'Back-end'!$B$6:$B$125,0),4),'Back-end'!$J$6:$J$125,M$16,'Back-end'!$B$6:$B$125,"&gt;="&amp;$E28,'Back-end'!$B$6:$B$125,"&lt;="&amp;M$18,'Back-end'!$B$6:$B$125,"&lt;="&amp;$F28,'Back-end'!$B$6:$B$125,"&gt;="&amp;M$17))),
(($G28*$H28/$B28*INDEX('Back-end'!$T$23:$X$29,MATCH("PTS",'Back-end'!$S$23:$S$29,0),MATCH(INDEX('Back-end'!$B$6:$E$125,MATCH(DATE(YEAR(M$17),MONTH(M$17),DAY(1)),'Back-end'!$B$6:$B$125,0),4),'Back-end'!$T$22:$X$22,0))
*COUNTIFS('Back-end'!$C$6:$C$125,"Summer",'Back-end'!$D$6:$D$125,INDEX('Back-end'!$B$6:$E$125,MATCH(DATE(YEAR(M$17),MONTH(M$17),DAY(1)),'Back-end'!$B$6:$B$125,0),4),'Back-end'!$J$6:$J$125,M$16,'Back-end'!$B$6:$B$125,"&gt;="&amp;$E28,'Back-end'!$B$6:$B$125,"&lt;="&amp;M$18,'Back-end'!$B$6:$B$125,"&lt;="&amp;$F28,'Back-end'!$B$6:$B$125,"&gt;="&amp;M$17))+
($G28*$H28/$B28*IF(ISERROR(INDEX('Back-end'!$T$23:$X$29,MATCH("PTS",'Back-end'!$S$23:$S$29,0),MATCH(INDEX('Back-end'!$B$6:$E$125,MATCH(DATE(YEAR(M$17)+1,MONTH(M$17),DAY(1)),'Back-end'!$B$6:$B$125,0),4),'Back-end'!$T$22:$X$22,0))),0,INDEX('Back-end'!$T$23:$X$29,MATCH("PTS",'Back-end'!$S$23:$S$29,0),MATCH(INDEX('Back-end'!$B$6:$E$125,MATCH(DATE(YEAR(M$17)+1,MONTH(M$17),DAY(1)),'Back-end'!$B$6:$B$125,0),4),'Back-end'!$T$22:$X$22,0)))
*COUNTIFS('Back-end'!$C$6:$C$125,"Summer",'Back-end'!$D$6:$D$125,INDEX('Back-end'!$B$6:$E$125,MATCH(DATE(YEAR(M$17)+1,MONTH(M$17),DAY(1)),'Back-end'!$B$6:$B$125,0),4),'Back-end'!$J$6:$J$125,M$16,'Back-end'!$B$6:$B$125,"&gt;="&amp;$E28,'Back-end'!$B$6:$B$125,"&lt;="&amp;M$18,'Back-end'!$B$6:$B$125,"&lt;="&amp;$F28,'Back-end'!$B$6:$B$125,"&gt;="&amp;M$17)))))),0)</f>
        <v>#N/A</v>
      </c>
      <c r="Y28" s="153" t="e">
        <f>IF(N(N$17)&gt;0,IF(OR($A28="PTS",$A28="PTG",$A28="PTU"),IF(MONTH(N$17)&lt;7,($G28*$H28/$B28*INDEX('Back-end'!$T$23:$X$29,MATCH("PTS",'Back-end'!$S$23:$S$29,0),MATCH(INDEX('Back-end'!$B$6:$E$125,MATCH(DATE(YEAR(N$17),MONTH(N$17),DAY(1)),'Back-end'!$B$6:$B$125,0),4),'Back-end'!$T$22:$X$22,0))
*COUNTIFS('Back-end'!$C$6:$C$125,"Summer",'Back-end'!$D$6:$D$125,INDEX('Back-end'!$B$6:$E$125,MATCH(DATE(YEAR(N$17),MONTH(N$17),DAY(1)),'Back-end'!$B$6:$B$125,0),4),'Back-end'!$J$6:$J$125,N$16,'Back-end'!$B$6:$B$125,"&gt;="&amp;$E28,'Back-end'!$B$6:$B$125,"&lt;="&amp;N$18,'Back-end'!$B$6:$B$125,"&lt;="&amp;$F28,'Back-end'!$B$6:$B$125,"&gt;="&amp;N$17))+
($G28*$H28/$B28*IF(ISERROR(INDEX('Back-end'!$T$23:$X$29,MATCH("PTS",'Back-end'!$S$23:$S$29,0),MATCH(INDEX('Back-end'!$B$6:$E$125,MATCH(DATE(YEAR(N$17)+1,MONTH(N$17),DAY(1)),'Back-end'!$B$6:$B$125,0),4),'Back-end'!$T$22:$X$22,0))),0,INDEX('Back-end'!$T$23:$X$29,MATCH("PTS",'Back-end'!$S$23:$S$29,0),MATCH(INDEX('Back-end'!$B$6:$E$125,MATCH(DATE(YEAR(N$17)+1,MONTH(N$17),DAY(1)),'Back-end'!$B$6:$B$125,0),4),'Back-end'!$T$22:$X$22,0)))
*COUNTIFS('Back-end'!$C$6:$C$125,"Summer",'Back-end'!$D$6:$D$125,INDEX('Back-end'!$B$6:$E$125,MATCH(DATE(YEAR(N$17)+1,MONTH(N$17),DAY(1)),'Back-end'!$B$6:$B$125,0),4),'Back-end'!$J$6:$J$125,N$16,'Back-end'!$B$6:$B$125,"&gt;="&amp;$E28,'Back-end'!$B$6:$B$125,"&lt;="&amp;N$18,'Back-end'!$B$6:$B$125,"&lt;="&amp;$F28,'Back-end'!$B$6:$B$125,"&gt;="&amp;N$17)),
IF(MONTH(N$18)=7,
(($G28*$H28/$B28*INDEX('Back-end'!$T$23:$X$29,MATCH("PTS",'Back-end'!$S$23:$S$29,0),MATCH(INDEX('Back-end'!$B$6:$E$125,MATCH(DATE(YEAR(N$18),MONTH(N$18),DAY(1)),'Back-end'!$B$6:$B$125,0),4),'Back-end'!$T$22:$X$22,0))
*COUNTIFS('Back-end'!$C$6:$C$125,"Summer",'Back-end'!$D$6:$D$125,INDEX('Back-end'!$B$6:$E$125,MATCH(DATE(YEAR(N$18),MONTH(N$18),DAY(1)),'Back-end'!$B$6:$B$125,0),4),'Back-end'!$J$6:$J$125,N$16,'Back-end'!$B$6:$B$125,"&gt;="&amp;$E28,'Back-end'!$B$6:$B$125,"&lt;="&amp;N$18,'Back-end'!$B$6:$B$125,"&lt;="&amp;$F28,'Back-end'!$B$6:$B$125,"&gt;="&amp;N$17))+
($G28*$H28/$B28*IF(ISERROR(INDEX('Back-end'!$T$23:$X$29,MATCH("PTS",'Back-end'!$S$23:$S$29,0),MATCH(INDEX('Back-end'!$B$6:$E$125,MATCH(DATE(YEAR(N$17),MONTH(N$17),DAY(1)),'Back-end'!$B$6:$B$125,0),4),'Back-end'!$T$22:$X$22,0))),0,INDEX('Back-end'!$T$23:$X$29,MATCH("PTS",'Back-end'!$S$23:$S$29,0),MATCH(INDEX('Back-end'!$B$6:$E$125,MATCH(DATE(YEAR(N$17),MONTH(N$17),DAY(1)),'Back-end'!$B$6:$B$125,0),4),'Back-end'!$T$22:$X$22,0)))
*COUNTIFS('Back-end'!$C$6:$C$125,"Summer",'Back-end'!$D$6:$D$125,INDEX('Back-end'!$B$6:$E$125,MATCH(DATE(YEAR(N$17),MONTH(N$17),DAY(1)),'Back-end'!$B$6:$B$125,0),4),'Back-end'!$J$6:$J$125,N$16,'Back-end'!$B$6:$B$125,"&gt;="&amp;$E28,'Back-end'!$B$6:$B$125,"&lt;="&amp;N$18,'Back-end'!$B$6:$B$125,"&lt;="&amp;$F28,'Back-end'!$B$6:$B$125,"&gt;="&amp;N$17))),
(($G28*$H28/$B28*INDEX('Back-end'!$T$23:$X$29,MATCH("PTS",'Back-end'!$S$23:$S$29,0),MATCH(INDEX('Back-end'!$B$6:$E$125,MATCH(DATE(YEAR(N$17),MONTH(N$17),DAY(1)),'Back-end'!$B$6:$B$125,0),4),'Back-end'!$T$22:$X$22,0))
*COUNTIFS('Back-end'!$C$6:$C$125,"Summer",'Back-end'!$D$6:$D$125,INDEX('Back-end'!$B$6:$E$125,MATCH(DATE(YEAR(N$17),MONTH(N$17),DAY(1)),'Back-end'!$B$6:$B$125,0),4),'Back-end'!$J$6:$J$125,N$16,'Back-end'!$B$6:$B$125,"&gt;="&amp;$E28,'Back-end'!$B$6:$B$125,"&lt;="&amp;N$18,'Back-end'!$B$6:$B$125,"&lt;="&amp;$F28,'Back-end'!$B$6:$B$125,"&gt;="&amp;N$17))+
($G28*$H28/$B28*IF(ISERROR(INDEX('Back-end'!$T$23:$X$29,MATCH("PTS",'Back-end'!$S$23:$S$29,0),MATCH(INDEX('Back-end'!$B$6:$E$125,MATCH(DATE(YEAR(N$17)+1,MONTH(N$17),DAY(1)),'Back-end'!$B$6:$B$125,0),4),'Back-end'!$T$22:$X$22,0))),0,INDEX('Back-end'!$T$23:$X$29,MATCH("PTS",'Back-end'!$S$23:$S$29,0),MATCH(INDEX('Back-end'!$B$6:$E$125,MATCH(DATE(YEAR(N$17)+1,MONTH(N$17),DAY(1)),'Back-end'!$B$6:$B$125,0),4),'Back-end'!$T$22:$X$22,0)))
*COUNTIFS('Back-end'!$C$6:$C$125,"Summer",'Back-end'!$D$6:$D$125,INDEX('Back-end'!$B$6:$E$125,MATCH(DATE(YEAR(N$17)+1,MONTH(N$17),DAY(1)),'Back-end'!$B$6:$B$125,0),4),'Back-end'!$J$6:$J$125,N$16,'Back-end'!$B$6:$B$125,"&gt;="&amp;$E28,'Back-end'!$B$6:$B$125,"&lt;="&amp;N$18,'Back-end'!$B$6:$B$125,"&lt;="&amp;$F28,'Back-end'!$B$6:$B$125,"&gt;="&amp;N$17)))))),0)</f>
        <v>#N/A</v>
      </c>
      <c r="Z28" s="153" t="e">
        <f>IF(N(O$17)&gt;0,IF(OR($A28="PTS",$A28="PTG",$A28="PTU"),IF(MONTH(O$17)&lt;7,($G28*$H28/$B28*INDEX('Back-end'!$T$23:$X$29,MATCH("PTS",'Back-end'!$S$23:$S$29,0),MATCH(INDEX('Back-end'!$B$6:$E$125,MATCH(DATE(YEAR(O$17),MONTH(O$17),DAY(1)),'Back-end'!$B$6:$B$125,0),4),'Back-end'!$T$22:$X$22,0))
*COUNTIFS('Back-end'!$C$6:$C$125,"Summer",'Back-end'!$D$6:$D$125,INDEX('Back-end'!$B$6:$E$125,MATCH(DATE(YEAR(O$17),MONTH(O$17),DAY(1)),'Back-end'!$B$6:$B$125,0),4),'Back-end'!$J$6:$J$125,O$16,'Back-end'!$B$6:$B$125,"&gt;="&amp;$E28,'Back-end'!$B$6:$B$125,"&lt;="&amp;O$18,'Back-end'!$B$6:$B$125,"&lt;="&amp;$F28,'Back-end'!$B$6:$B$125,"&gt;="&amp;O$17))+
($G28*$H28/$B28*IF(ISERROR(INDEX('Back-end'!$T$23:$X$29,MATCH("PTS",'Back-end'!$S$23:$S$29,0),MATCH(INDEX('Back-end'!$B$6:$E$125,MATCH(DATE(YEAR(O$17)+1,MONTH(O$17),DAY(1)),'Back-end'!$B$6:$B$125,0),4),'Back-end'!$T$22:$X$22,0))),0,INDEX('Back-end'!$T$23:$X$29,MATCH("PTS",'Back-end'!$S$23:$S$29,0),MATCH(INDEX('Back-end'!$B$6:$E$125,MATCH(DATE(YEAR(O$17)+1,MONTH(O$17),DAY(1)),'Back-end'!$B$6:$B$125,0),4),'Back-end'!$T$22:$X$22,0)))
*COUNTIFS('Back-end'!$C$6:$C$125,"Summer",'Back-end'!$D$6:$D$125,INDEX('Back-end'!$B$6:$E$125,MATCH(DATE(YEAR(O$17)+1,MONTH(O$17),DAY(1)),'Back-end'!$B$6:$B$125,0),4),'Back-end'!$J$6:$J$125,O$16,'Back-end'!$B$6:$B$125,"&gt;="&amp;$E28,'Back-end'!$B$6:$B$125,"&lt;="&amp;O$18,'Back-end'!$B$6:$B$125,"&lt;="&amp;$F28,'Back-end'!$B$6:$B$125,"&gt;="&amp;O$17)),
IF(MONTH(O$18)=7,
(($G28*$H28/$B28*INDEX('Back-end'!$T$23:$X$29,MATCH("PTS",'Back-end'!$S$23:$S$29,0),MATCH(INDEX('Back-end'!$B$6:$E$125,MATCH(DATE(YEAR(O$18),MONTH(O$18),DAY(1)),'Back-end'!$B$6:$B$125,0),4),'Back-end'!$T$22:$X$22,0))
*COUNTIFS('Back-end'!$C$6:$C$125,"Summer",'Back-end'!$D$6:$D$125,INDEX('Back-end'!$B$6:$E$125,MATCH(DATE(YEAR(O$18),MONTH(O$18),DAY(1)),'Back-end'!$B$6:$B$125,0),4),'Back-end'!$J$6:$J$125,O$16,'Back-end'!$B$6:$B$125,"&gt;="&amp;$E28,'Back-end'!$B$6:$B$125,"&lt;="&amp;O$18,'Back-end'!$B$6:$B$125,"&lt;="&amp;$F28,'Back-end'!$B$6:$B$125,"&gt;="&amp;O$17))+
($G28*$H28/$B28*IF(ISERROR(INDEX('Back-end'!$T$23:$X$29,MATCH("PTS",'Back-end'!$S$23:$S$29,0),MATCH(INDEX('Back-end'!$B$6:$E$125,MATCH(DATE(YEAR(O$17),MONTH(O$17),DAY(1)),'Back-end'!$B$6:$B$125,0),4),'Back-end'!$T$22:$X$22,0))),0,INDEX('Back-end'!$T$23:$X$29,MATCH("PTS",'Back-end'!$S$23:$S$29,0),MATCH(INDEX('Back-end'!$B$6:$E$125,MATCH(DATE(YEAR(O$17),MONTH(O$17),DAY(1)),'Back-end'!$B$6:$B$125,0),4),'Back-end'!$T$22:$X$22,0)))
*COUNTIFS('Back-end'!$C$6:$C$125,"Summer",'Back-end'!$D$6:$D$125,INDEX('Back-end'!$B$6:$E$125,MATCH(DATE(YEAR(O$17),MONTH(O$17),DAY(1)),'Back-end'!$B$6:$B$125,0),4),'Back-end'!$J$6:$J$125,O$16,'Back-end'!$B$6:$B$125,"&gt;="&amp;$E28,'Back-end'!$B$6:$B$125,"&lt;="&amp;O$18,'Back-end'!$B$6:$B$125,"&lt;="&amp;$F28,'Back-end'!$B$6:$B$125,"&gt;="&amp;O$17))),
(($G28*$H28/$B28*INDEX('Back-end'!$T$23:$X$29,MATCH("PTS",'Back-end'!$S$23:$S$29,0),MATCH(INDEX('Back-end'!$B$6:$E$125,MATCH(DATE(YEAR(O$17),MONTH(O$17),DAY(1)),'Back-end'!$B$6:$B$125,0),4),'Back-end'!$T$22:$X$22,0))
*COUNTIFS('Back-end'!$C$6:$C$125,"Summer",'Back-end'!$D$6:$D$125,INDEX('Back-end'!$B$6:$E$125,MATCH(DATE(YEAR(O$17),MONTH(O$17),DAY(1)),'Back-end'!$B$6:$B$125,0),4),'Back-end'!$J$6:$J$125,O$16,'Back-end'!$B$6:$B$125,"&gt;="&amp;$E28,'Back-end'!$B$6:$B$125,"&lt;="&amp;O$18,'Back-end'!$B$6:$B$125,"&lt;="&amp;$F28,'Back-end'!$B$6:$B$125,"&gt;="&amp;O$17))+
($G28*$H28/$B28*IF(ISERROR(INDEX('Back-end'!$T$23:$X$29,MATCH("PTS",'Back-end'!$S$23:$S$29,0),MATCH(INDEX('Back-end'!$B$6:$E$125,MATCH(DATE(YEAR(O$17)+1,MONTH(O$17),DAY(1)),'Back-end'!$B$6:$B$125,0),4),'Back-end'!$T$22:$X$22,0))),0,INDEX('Back-end'!$T$23:$X$29,MATCH("PTS",'Back-end'!$S$23:$S$29,0),MATCH(INDEX('Back-end'!$B$6:$E$125,MATCH(DATE(YEAR(O$17)+1,MONTH(O$17),DAY(1)),'Back-end'!$B$6:$B$125,0),4),'Back-end'!$T$22:$X$22,0)))
*COUNTIFS('Back-end'!$C$6:$C$125,"Summer",'Back-end'!$D$6:$D$125,INDEX('Back-end'!$B$6:$E$125,MATCH(DATE(YEAR(O$17)+1,MONTH(O$17),DAY(1)),'Back-end'!$B$6:$B$125,0),4),'Back-end'!$J$6:$J$125,O$16,'Back-end'!$B$6:$B$125,"&gt;="&amp;$E28,'Back-end'!$B$6:$B$125,"&lt;="&amp;O$18,'Back-end'!$B$6:$B$125,"&lt;="&amp;$F28,'Back-end'!$B$6:$B$125,"&gt;="&amp;O$17)))))),0)</f>
        <v>#N/A</v>
      </c>
      <c r="AA28" s="153" t="e">
        <f>IF(N(P$17)&gt;0,IF(OR($A28="PTS",$A28="PTG",$A28="PTU"),IF(MONTH(P$17)&lt;7,($G28*$H28/$B28*INDEX('Back-end'!$T$23:$X$29,MATCH("PTS",'Back-end'!$S$23:$S$29,0),MATCH(INDEX('Back-end'!$B$6:$E$125,MATCH(DATE(YEAR(P$17),MONTH(P$17),DAY(1)),'Back-end'!$B$6:$B$125,0),4),'Back-end'!$T$22:$X$22,0))
*COUNTIFS('Back-end'!$C$6:$C$125,"Summer",'Back-end'!$D$6:$D$125,INDEX('Back-end'!$B$6:$E$125,MATCH(DATE(YEAR(P$17),MONTH(P$17),DAY(1)),'Back-end'!$B$6:$B$125,0),4),'Back-end'!$J$6:$J$125,P$16,'Back-end'!$B$6:$B$125,"&gt;="&amp;$E28,'Back-end'!$B$6:$B$125,"&lt;="&amp;P$18,'Back-end'!$B$6:$B$125,"&lt;="&amp;$F28,'Back-end'!$B$6:$B$125,"&gt;="&amp;P$17))+
($G28*$H28/$B28*IF(ISERROR(INDEX('Back-end'!$T$23:$X$29,MATCH("PTS",'Back-end'!$S$23:$S$29,0),MATCH(INDEX('Back-end'!$B$6:$E$125,MATCH(DATE(YEAR(P$17)+1,MONTH(P$17),DAY(1)),'Back-end'!$B$6:$B$125,0),4),'Back-end'!$T$22:$X$22,0))),0,INDEX('Back-end'!$T$23:$X$29,MATCH("PTS",'Back-end'!$S$23:$S$29,0),MATCH(INDEX('Back-end'!$B$6:$E$125,MATCH(DATE(YEAR(P$17)+1,MONTH(P$17),DAY(1)),'Back-end'!$B$6:$B$125,0),4),'Back-end'!$T$22:$X$22,0)))
*COUNTIFS('Back-end'!$C$6:$C$125,"Summer",'Back-end'!$D$6:$D$125,INDEX('Back-end'!$B$6:$E$125,MATCH(DATE(YEAR(P$17)+1,MONTH(P$17),DAY(1)),'Back-end'!$B$6:$B$125,0),4),'Back-end'!$J$6:$J$125,P$16,'Back-end'!$B$6:$B$125,"&gt;="&amp;$E28,'Back-end'!$B$6:$B$125,"&lt;="&amp;P$18,'Back-end'!$B$6:$B$125,"&lt;="&amp;$F28,'Back-end'!$B$6:$B$125,"&gt;="&amp;P$17)),
IF(MONTH(P$18)=7,
(($G28*$H28/$B28*INDEX('Back-end'!$T$23:$X$29,MATCH("PTS",'Back-end'!$S$23:$S$29,0),MATCH(INDEX('Back-end'!$B$6:$E$125,MATCH(DATE(YEAR(P$18),MONTH(P$18),DAY(1)),'Back-end'!$B$6:$B$125,0),4),'Back-end'!$T$22:$X$22,0))
*COUNTIFS('Back-end'!$C$6:$C$125,"Summer",'Back-end'!$D$6:$D$125,INDEX('Back-end'!$B$6:$E$125,MATCH(DATE(YEAR(P$18),MONTH(P$18),DAY(1)),'Back-end'!$B$6:$B$125,0),4),'Back-end'!$J$6:$J$125,P$16,'Back-end'!$B$6:$B$125,"&gt;="&amp;$E28,'Back-end'!$B$6:$B$125,"&lt;="&amp;P$18,'Back-end'!$B$6:$B$125,"&lt;="&amp;$F28,'Back-end'!$B$6:$B$125,"&gt;="&amp;P$17))+
($G28*$H28/$B28*IF(ISERROR(INDEX('Back-end'!$T$23:$X$29,MATCH("PTS",'Back-end'!$S$23:$S$29,0),MATCH(INDEX('Back-end'!$B$6:$E$125,MATCH(DATE(YEAR(P$17),MONTH(P$17),DAY(1)),'Back-end'!$B$6:$B$125,0),4),'Back-end'!$T$22:$X$22,0))),0,INDEX('Back-end'!$T$23:$X$29,MATCH("PTS",'Back-end'!$S$23:$S$29,0),MATCH(INDEX('Back-end'!$B$6:$E$125,MATCH(DATE(YEAR(P$17),MONTH(P$17),DAY(1)),'Back-end'!$B$6:$B$125,0),4),'Back-end'!$T$22:$X$22,0)))
*COUNTIFS('Back-end'!$C$6:$C$125,"Summer",'Back-end'!$D$6:$D$125,INDEX('Back-end'!$B$6:$E$125,MATCH(DATE(YEAR(P$17),MONTH(P$17),DAY(1)),'Back-end'!$B$6:$B$125,0),4),'Back-end'!$J$6:$J$125,P$16,'Back-end'!$B$6:$B$125,"&gt;="&amp;$E28,'Back-end'!$B$6:$B$125,"&lt;="&amp;P$18,'Back-end'!$B$6:$B$125,"&lt;="&amp;$F28,'Back-end'!$B$6:$B$125,"&gt;="&amp;P$17))),
(($G28*$H28/$B28*INDEX('Back-end'!$T$23:$X$29,MATCH("PTS",'Back-end'!$S$23:$S$29,0),MATCH(INDEX('Back-end'!$B$6:$E$125,MATCH(DATE(YEAR(P$17),MONTH(P$17),DAY(1)),'Back-end'!$B$6:$B$125,0),4),'Back-end'!$T$22:$X$22,0))
*COUNTIFS('Back-end'!$C$6:$C$125,"Summer",'Back-end'!$D$6:$D$125,INDEX('Back-end'!$B$6:$E$125,MATCH(DATE(YEAR(P$17),MONTH(P$17),DAY(1)),'Back-end'!$B$6:$B$125,0),4),'Back-end'!$J$6:$J$125,P$16,'Back-end'!$B$6:$B$125,"&gt;="&amp;$E28,'Back-end'!$B$6:$B$125,"&lt;="&amp;P$18,'Back-end'!$B$6:$B$125,"&lt;="&amp;$F28,'Back-end'!$B$6:$B$125,"&gt;="&amp;P$17))+
($G28*$H28/$B28*IF(ISERROR(INDEX('Back-end'!$T$23:$X$29,MATCH("PTS",'Back-end'!$S$23:$S$29,0),MATCH(INDEX('Back-end'!$B$6:$E$125,MATCH(DATE(YEAR(P$17)+1,MONTH(P$17),DAY(1)),'Back-end'!$B$6:$B$125,0),4),'Back-end'!$T$22:$X$22,0))),0,INDEX('Back-end'!$T$23:$X$29,MATCH("PTS",'Back-end'!$S$23:$S$29,0),MATCH(INDEX('Back-end'!$B$6:$E$125,MATCH(DATE(YEAR(P$17)+1,MONTH(P$17),DAY(1)),'Back-end'!$B$6:$B$125,0),4),'Back-end'!$T$22:$X$22,0)))
*COUNTIFS('Back-end'!$C$6:$C$125,"Summer",'Back-end'!$D$6:$D$125,INDEX('Back-end'!$B$6:$E$125,MATCH(DATE(YEAR(P$17)+1,MONTH(P$17),DAY(1)),'Back-end'!$B$6:$B$125,0),4),'Back-end'!$J$6:$J$125,P$16,'Back-end'!$B$6:$B$125,"&gt;="&amp;$E28,'Back-end'!$B$6:$B$125,"&lt;="&amp;P$18,'Back-end'!$B$6:$B$125,"&lt;="&amp;$F28,'Back-end'!$B$6:$B$125,"&gt;="&amp;P$17)))))),0)</f>
        <v>#N/A</v>
      </c>
      <c r="AB28" s="153" t="e">
        <f>IF(N(Q$17)&gt;0,IF(OR($A28="PTS",$A28="PTG",$A28="PTU"),IF(MONTH(Q$17)&lt;7,($G28*$H28/$B28*INDEX('Back-end'!$T$23:$X$29,MATCH("PTS",'Back-end'!$S$23:$S$29,0),MATCH(INDEX('Back-end'!$B$6:$E$125,MATCH(DATE(YEAR(Q$17),MONTH(Q$17),DAY(1)),'Back-end'!$B$6:$B$125,0),4),'Back-end'!$T$22:$X$22,0))
*COUNTIFS('Back-end'!$C$6:$C$125,"Summer",'Back-end'!$D$6:$D$125,INDEX('Back-end'!$B$6:$E$125,MATCH(DATE(YEAR(Q$17),MONTH(Q$17),DAY(1)),'Back-end'!$B$6:$B$125,0),4),'Back-end'!$J$6:$J$125,Q$16,'Back-end'!$B$6:$B$125,"&gt;="&amp;$E28,'Back-end'!$B$6:$B$125,"&lt;="&amp;Q$18,'Back-end'!$B$6:$B$125,"&lt;="&amp;$F28,'Back-end'!$B$6:$B$125,"&gt;="&amp;Q$17))+
($G28*$H28/$B28*IF(ISERROR(INDEX('Back-end'!$T$23:$X$29,MATCH("PTS",'Back-end'!$S$23:$S$29,0),MATCH(INDEX('Back-end'!$B$6:$E$125,MATCH(DATE(YEAR(Q$17)+1,MONTH(Q$17),DAY(1)),'Back-end'!$B$6:$B$125,0),4),'Back-end'!$T$22:$X$22,0))),0,INDEX('Back-end'!$T$23:$X$29,MATCH("PTS",'Back-end'!$S$23:$S$29,0),MATCH(INDEX('Back-end'!$B$6:$E$125,MATCH(DATE(YEAR(Q$17)+1,MONTH(Q$17),DAY(1)),'Back-end'!$B$6:$B$125,0),4),'Back-end'!$T$22:$X$22,0)))
*COUNTIFS('Back-end'!$C$6:$C$125,"Summer",'Back-end'!$D$6:$D$125,INDEX('Back-end'!$B$6:$E$125,MATCH(DATE(YEAR(Q$17)+1,MONTH(Q$17),DAY(1)),'Back-end'!$B$6:$B$125,0),4),'Back-end'!$J$6:$J$125,Q$16,'Back-end'!$B$6:$B$125,"&gt;="&amp;$E28,'Back-end'!$B$6:$B$125,"&lt;="&amp;Q$18,'Back-end'!$B$6:$B$125,"&lt;="&amp;$F28,'Back-end'!$B$6:$B$125,"&gt;="&amp;Q$17)),
IF(MONTH(Q$18)=7,
(($G28*$H28/$B28*INDEX('Back-end'!$T$23:$X$29,MATCH("PTS",'Back-end'!$S$23:$S$29,0),MATCH(INDEX('Back-end'!$B$6:$E$125,MATCH(DATE(YEAR(Q$18),MONTH(Q$18),DAY(1)),'Back-end'!$B$6:$B$125,0),4),'Back-end'!$T$22:$X$22,0))
*COUNTIFS('Back-end'!$C$6:$C$125,"Summer",'Back-end'!$D$6:$D$125,INDEX('Back-end'!$B$6:$E$125,MATCH(DATE(YEAR(Q$18),MONTH(Q$18),DAY(1)),'Back-end'!$B$6:$B$125,0),4),'Back-end'!$J$6:$J$125,Q$16,'Back-end'!$B$6:$B$125,"&gt;="&amp;$E28,'Back-end'!$B$6:$B$125,"&lt;="&amp;Q$18,'Back-end'!$B$6:$B$125,"&lt;="&amp;$F28,'Back-end'!$B$6:$B$125,"&gt;="&amp;Q$17))+
($G28*$H28/$B28*IF(ISERROR(INDEX('Back-end'!$T$23:$X$29,MATCH("PTS",'Back-end'!$S$23:$S$29,0),MATCH(INDEX('Back-end'!$B$6:$E$125,MATCH(DATE(YEAR(Q$17),MONTH(Q$17),DAY(1)),'Back-end'!$B$6:$B$125,0),4),'Back-end'!$T$22:$X$22,0))),0,INDEX('Back-end'!$T$23:$X$29,MATCH("PTS",'Back-end'!$S$23:$S$29,0),MATCH(INDEX('Back-end'!$B$6:$E$125,MATCH(DATE(YEAR(Q$17),MONTH(Q$17),DAY(1)),'Back-end'!$B$6:$B$125,0),4),'Back-end'!$T$22:$X$22,0)))
*COUNTIFS('Back-end'!$C$6:$C$125,"Summer",'Back-end'!$D$6:$D$125,INDEX('Back-end'!$B$6:$E$125,MATCH(DATE(YEAR(Q$17),MONTH(Q$17),DAY(1)),'Back-end'!$B$6:$B$125,0),4),'Back-end'!$J$6:$J$125,Q$16,'Back-end'!$B$6:$B$125,"&gt;="&amp;$E28,'Back-end'!$B$6:$B$125,"&lt;="&amp;Q$18,'Back-end'!$B$6:$B$125,"&lt;="&amp;$F28,'Back-end'!$B$6:$B$125,"&gt;="&amp;Q$17))),
(($G28*$H28/$B28*INDEX('Back-end'!$T$23:$X$29,MATCH("PTS",'Back-end'!$S$23:$S$29,0),MATCH(INDEX('Back-end'!$B$6:$E$125,MATCH(DATE(YEAR(Q$17),MONTH(Q$17),DAY(1)),'Back-end'!$B$6:$B$125,0),4),'Back-end'!$T$22:$X$22,0))
*COUNTIFS('Back-end'!$C$6:$C$125,"Summer",'Back-end'!$D$6:$D$125,INDEX('Back-end'!$B$6:$E$125,MATCH(DATE(YEAR(Q$17),MONTH(Q$17),DAY(1)),'Back-end'!$B$6:$B$125,0),4),'Back-end'!$J$6:$J$125,Q$16,'Back-end'!$B$6:$B$125,"&gt;="&amp;$E28,'Back-end'!$B$6:$B$125,"&lt;="&amp;Q$18,'Back-end'!$B$6:$B$125,"&lt;="&amp;$F28,'Back-end'!$B$6:$B$125,"&gt;="&amp;Q$17))+
($G28*$H28/$B28*IF(ISERROR(INDEX('Back-end'!$T$23:$X$29,MATCH("PTS",'Back-end'!$S$23:$S$29,0),MATCH(INDEX('Back-end'!$B$6:$E$125,MATCH(DATE(YEAR(Q$17)+1,MONTH(Q$17),DAY(1)),'Back-end'!$B$6:$B$125,0),4),'Back-end'!$T$22:$X$22,0))),0,INDEX('Back-end'!$T$23:$X$29,MATCH("PTS",'Back-end'!$S$23:$S$29,0),MATCH(INDEX('Back-end'!$B$6:$E$125,MATCH(DATE(YEAR(Q$17)+1,MONTH(Q$17),DAY(1)),'Back-end'!$B$6:$B$125,0),4),'Back-end'!$T$22:$X$22,0)))
*COUNTIFS('Back-end'!$C$6:$C$125,"Summer",'Back-end'!$D$6:$D$125,INDEX('Back-end'!$B$6:$E$125,MATCH(DATE(YEAR(Q$17)+1,MONTH(Q$17),DAY(1)),'Back-end'!$B$6:$B$125,0),4),'Back-end'!$J$6:$J$125,Q$16,'Back-end'!$B$6:$B$125,"&gt;="&amp;$E28,'Back-end'!$B$6:$B$125,"&lt;="&amp;Q$18,'Back-end'!$B$6:$B$125,"&lt;="&amp;$F28,'Back-end'!$B$6:$B$125,"&gt;="&amp;Q$17)))))),0)</f>
        <v>#N/A</v>
      </c>
      <c r="AC28" s="153" t="e">
        <f>IF(N(R$17)&gt;0,IF(OR($A28="PTS",$A28="PTG",$A28="PTU"),IF(MONTH(R$17)&lt;7,($G28*$H28/$B28*INDEX('Back-end'!$T$23:$X$29,MATCH("PTS",'Back-end'!$S$23:$S$29,0),MATCH(INDEX('Back-end'!$B$6:$E$125,MATCH(DATE(YEAR(R$17),MONTH(R$17),DAY(1)),'Back-end'!$B$6:$B$125,0),4),'Back-end'!$T$22:$X$22,0))
*COUNTIFS('Back-end'!$C$6:$C$125,"Summer",'Back-end'!$D$6:$D$125,INDEX('Back-end'!$B$6:$E$125,MATCH(DATE(YEAR(R$17),MONTH(R$17),DAY(1)),'Back-end'!$B$6:$B$125,0),4),'Back-end'!$J$6:$J$125,R$16,'Back-end'!$B$6:$B$125,"&gt;="&amp;$E28,'Back-end'!$B$6:$B$125,"&lt;="&amp;R$18,'Back-end'!$B$6:$B$125,"&lt;="&amp;$F28,'Back-end'!$B$6:$B$125,"&gt;="&amp;R$17))+
($G28*$H28/$B28*IF(ISERROR(INDEX('Back-end'!$T$23:$X$29,MATCH("PTS",'Back-end'!$S$23:$S$29,0),MATCH(INDEX('Back-end'!$B$6:$E$125,MATCH(DATE(YEAR(R$17)+1,MONTH(R$17),DAY(1)),'Back-end'!$B$6:$B$125,0),4),'Back-end'!$T$22:$X$22,0))),0,INDEX('Back-end'!$T$23:$X$29,MATCH("PTS",'Back-end'!$S$23:$S$29,0),MATCH(INDEX('Back-end'!$B$6:$E$125,MATCH(DATE(YEAR(R$17)+1,MONTH(R$17),DAY(1)),'Back-end'!$B$6:$B$125,0),4),'Back-end'!$T$22:$X$22,0)))
*COUNTIFS('Back-end'!$C$6:$C$125,"Summer",'Back-end'!$D$6:$D$125,INDEX('Back-end'!$B$6:$E$125,MATCH(DATE(YEAR(R$17)+1,MONTH(R$17),DAY(1)),'Back-end'!$B$6:$B$125,0),4),'Back-end'!$J$6:$J$125,R$16,'Back-end'!$B$6:$B$125,"&gt;="&amp;$E28,'Back-end'!$B$6:$B$125,"&lt;="&amp;R$18,'Back-end'!$B$6:$B$125,"&lt;="&amp;$F28,'Back-end'!$B$6:$B$125,"&gt;="&amp;R$17)),
IF(MONTH(R$18)=7,
(($G28*$H28/$B28*INDEX('Back-end'!$T$23:$X$29,MATCH("PTS",'Back-end'!$S$23:$S$29,0),MATCH(INDEX('Back-end'!$B$6:$E$125,MATCH(DATE(YEAR(R$18),MONTH(R$18),DAY(1)),'Back-end'!$B$6:$B$125,0),4),'Back-end'!$T$22:$X$22,0))
*COUNTIFS('Back-end'!$C$6:$C$125,"Summer",'Back-end'!$D$6:$D$125,INDEX('Back-end'!$B$6:$E$125,MATCH(DATE(YEAR(R$18),MONTH(R$18),DAY(1)),'Back-end'!$B$6:$B$125,0),4),'Back-end'!$J$6:$J$125,R$16,'Back-end'!$B$6:$B$125,"&gt;="&amp;$E28,'Back-end'!$B$6:$B$125,"&lt;="&amp;R$18,'Back-end'!$B$6:$B$125,"&lt;="&amp;$F28,'Back-end'!$B$6:$B$125,"&gt;="&amp;R$17))+
($G28*$H28/$B28*IF(ISERROR(INDEX('Back-end'!$T$23:$X$29,MATCH("PTS",'Back-end'!$S$23:$S$29,0),MATCH(INDEX('Back-end'!$B$6:$E$125,MATCH(DATE(YEAR(R$17),MONTH(R$17),DAY(1)),'Back-end'!$B$6:$B$125,0),4),'Back-end'!$T$22:$X$22,0))),0,INDEX('Back-end'!$T$23:$X$29,MATCH("PTS",'Back-end'!$S$23:$S$29,0),MATCH(INDEX('Back-end'!$B$6:$E$125,MATCH(DATE(YEAR(R$17),MONTH(R$17),DAY(1)),'Back-end'!$B$6:$B$125,0),4),'Back-end'!$T$22:$X$22,0)))
*COUNTIFS('Back-end'!$C$6:$C$125,"Summer",'Back-end'!$D$6:$D$125,INDEX('Back-end'!$B$6:$E$125,MATCH(DATE(YEAR(R$17),MONTH(R$17),DAY(1)),'Back-end'!$B$6:$B$125,0),4),'Back-end'!$J$6:$J$125,R$16,'Back-end'!$B$6:$B$125,"&gt;="&amp;$E28,'Back-end'!$B$6:$B$125,"&lt;="&amp;R$18,'Back-end'!$B$6:$B$125,"&lt;="&amp;$F28,'Back-end'!$B$6:$B$125,"&gt;="&amp;R$17))),
(($G28*$H28/$B28*INDEX('Back-end'!$T$23:$X$29,MATCH("PTS",'Back-end'!$S$23:$S$29,0),MATCH(INDEX('Back-end'!$B$6:$E$125,MATCH(DATE(YEAR(R$17),MONTH(R$17),DAY(1)),'Back-end'!$B$6:$B$125,0),4),'Back-end'!$T$22:$X$22,0))
*COUNTIFS('Back-end'!$C$6:$C$125,"Summer",'Back-end'!$D$6:$D$125,INDEX('Back-end'!$B$6:$E$125,MATCH(DATE(YEAR(R$17),MONTH(R$17),DAY(1)),'Back-end'!$B$6:$B$125,0),4),'Back-end'!$J$6:$J$125,R$16,'Back-end'!$B$6:$B$125,"&gt;="&amp;$E28,'Back-end'!$B$6:$B$125,"&lt;="&amp;R$18,'Back-end'!$B$6:$B$125,"&lt;="&amp;$F28,'Back-end'!$B$6:$B$125,"&gt;="&amp;R$17))+
($G28*$H28/$B28*IF(ISERROR(INDEX('Back-end'!$T$23:$X$29,MATCH("PTS",'Back-end'!$S$23:$S$29,0),MATCH(INDEX('Back-end'!$B$6:$E$125,MATCH(DATE(YEAR(R$17)+1,MONTH(R$17),DAY(1)),'Back-end'!$B$6:$B$125,0),4),'Back-end'!$T$22:$X$22,0))),0,INDEX('Back-end'!$T$23:$X$29,MATCH("PTS",'Back-end'!$S$23:$S$29,0),MATCH(INDEX('Back-end'!$B$6:$E$125,MATCH(DATE(YEAR(R$17)+1,MONTH(R$17),DAY(1)),'Back-end'!$B$6:$B$125,0),4),'Back-end'!$T$22:$X$22,0)))
*COUNTIFS('Back-end'!$C$6:$C$125,"Summer",'Back-end'!$D$6:$D$125,INDEX('Back-end'!$B$6:$E$125,MATCH(DATE(YEAR(R$17)+1,MONTH(R$17),DAY(1)),'Back-end'!$B$6:$B$125,0),4),'Back-end'!$J$6:$J$125,R$16,'Back-end'!$B$6:$B$125,"&gt;="&amp;$E28,'Back-end'!$B$6:$B$125,"&lt;="&amp;R$18,'Back-end'!$B$6:$B$125,"&lt;="&amp;$F28,'Back-end'!$B$6:$B$125,"&gt;="&amp;R$17)))))),0)</f>
        <v>#N/A</v>
      </c>
      <c r="AD28" s="2">
        <f>IF(OR($A28="PTG",$A28="PTA"),SUMIFS('Back-end'!$G$6:$G$125,'Back-end'!$J$6:$J$125,AD$27,'Back-end'!$B$6:$B$125,"&gt;="&amp;$E28,'Back-end'!$J$6:$J$125,I$16,'Back-end'!$B$6:$B$125,"&lt;="&amp;I$18,'Back-end'!$B$6:$B$125,"&lt;="&amp;$F28,'Back-end'!$B$6:$B$125,"&gt;="&amp;I$17),0)</f>
        <v>0</v>
      </c>
      <c r="AE28" s="2">
        <f>IF(OR($A28="PTG",$A28="PTA"),SUMIFS('Back-end'!$G$6:$G$125,'Back-end'!$J$6:$J$125,AE$27,'Back-end'!$B$6:$B$125,"&gt;="&amp;$E28,'Back-end'!$J$6:$J$125,J$16,'Back-end'!$B$6:$B$125,"&lt;="&amp;J$18,'Back-end'!$B$6:$B$125,"&lt;="&amp;$F28,'Back-end'!$B$6:$B$125,"&gt;="&amp;J$17),0)</f>
        <v>0</v>
      </c>
      <c r="AF28" s="2">
        <f>IF(OR($A28="PTG",$A28="PTA"),SUMIFS('Back-end'!$G$6:$G$125,'Back-end'!$J$6:$J$125,AF$27,'Back-end'!$B$6:$B$125,"&gt;="&amp;$E28,'Back-end'!$J$6:$J$125,K$16,'Back-end'!$B$6:$B$125,"&lt;="&amp;K$18,'Back-end'!$B$6:$B$125,"&lt;="&amp;$F28,'Back-end'!$B$6:$B$125,"&gt;="&amp;K$17),0)</f>
        <v>0</v>
      </c>
      <c r="AG28" s="2">
        <f>IF(OR($A28="PTG",$A28="PTA"),SUMIFS('Back-end'!$G$6:$G$125,'Back-end'!$J$6:$J$125,AG$27,'Back-end'!$B$6:$B$125,"&gt;="&amp;$E28,'Back-end'!$J$6:$J$125,L$16,'Back-end'!$B$6:$B$125,"&lt;="&amp;L$18,'Back-end'!$B$6:$B$125,"&lt;="&amp;$F28,'Back-end'!$B$6:$B$125,"&gt;="&amp;L$17),0)</f>
        <v>0</v>
      </c>
      <c r="AH28" s="2">
        <f>IF(OR($A28="PTG",$A28="PTA"),SUMIFS('Back-end'!$G$6:$G$125,'Back-end'!$J$6:$J$125,AH$27,'Back-end'!$B$6:$B$125,"&gt;="&amp;$E28,'Back-end'!$J$6:$J$125,M$16,'Back-end'!$B$6:$B$125,"&lt;="&amp;M$18,'Back-end'!$B$6:$B$125,"&lt;="&amp;$F28,'Back-end'!$B$6:$B$125,"&gt;="&amp;M$17),0)</f>
        <v>0</v>
      </c>
      <c r="AI28" s="2">
        <f>IF(OR($A28="PTG",$A28="PTA"),SUMIFS('Back-end'!$G$6:$G$125,'Back-end'!$J$6:$J$125,AI$27,'Back-end'!$B$6:$B$125,"&gt;="&amp;$E28,'Back-end'!$J$6:$J$125,N$16,'Back-end'!$B$6:$B$125,"&lt;="&amp;N$18,'Back-end'!$B$6:$B$125,"&lt;="&amp;$F28,'Back-end'!$B$6:$B$125,"&gt;="&amp;N$17),0)</f>
        <v>0</v>
      </c>
      <c r="AJ28" s="2">
        <f>IF(OR($A28="PTG",$A28="PTA"),SUMIFS('Back-end'!$G$6:$G$125,'Back-end'!$J$6:$J$125,AJ$27,'Back-end'!$B$6:$B$125,"&gt;="&amp;$E28,'Back-end'!$J$6:$J$125,O$16,'Back-end'!$B$6:$B$125,"&lt;="&amp;O$18,'Back-end'!$B$6:$B$125,"&lt;="&amp;$F28,'Back-end'!$B$6:$B$125,"&gt;="&amp;O$17),0)</f>
        <v>0</v>
      </c>
      <c r="AK28" s="2">
        <f>IF(OR($A28="PTG",$A28="PTA"),SUMIFS('Back-end'!$G$6:$G$125,'Back-end'!$J$6:$J$125,AK$27,'Back-end'!$B$6:$B$125,"&gt;="&amp;$E28,'Back-end'!$J$6:$J$125,P$16,'Back-end'!$B$6:$B$125,"&lt;="&amp;P$18,'Back-end'!$B$6:$B$125,"&lt;="&amp;$F28,'Back-end'!$B$6:$B$125,"&gt;="&amp;P$17),0)</f>
        <v>0</v>
      </c>
      <c r="AL28" s="2">
        <f>IF(OR($A28="PTG",$A28="PTA"),SUMIFS('Back-end'!$G$6:$G$125,'Back-end'!$J$6:$J$125,AL$27,'Back-end'!$B$6:$B$125,"&gt;="&amp;$E28,'Back-end'!$J$6:$J$125,Q$16,'Back-end'!$B$6:$B$125,"&lt;="&amp;Q$18,'Back-end'!$B$6:$B$125,"&lt;="&amp;$F28,'Back-end'!$B$6:$B$125,"&gt;="&amp;Q$17),0)</f>
        <v>0</v>
      </c>
      <c r="AM28" s="2">
        <f>IF(OR($A28="PTG",$A28="PTA"),SUMIFS('Back-end'!$G$6:$G$125,'Back-end'!$J$6:$J$125,AM$27,'Back-end'!$B$6:$B$125,"&gt;="&amp;$E28,'Back-end'!$J$6:$J$125,R$16,'Back-end'!$B$6:$B$125,"&lt;="&amp;R$18,'Back-end'!$B$6:$B$125,"&lt;="&amp;$F28,'Back-end'!$B$6:$B$125,"&gt;="&amp;R$17),0)</f>
        <v>0</v>
      </c>
      <c r="AN28" s="153">
        <f>IF(OR($A28="PTG",$A28="PTA"),SUMIFS('Back-end'!$H$6:$H$125,'Back-end'!$J$6:$J$125,AN$27,'Back-end'!$B$6:$B$125,"&gt;="&amp;$E28,'Back-end'!$J$6:$J$125,I$16,'Back-end'!$B$6:$B$125,"&lt;="&amp;I$18,'Back-end'!$B$6:$B$125,"&lt;="&amp;$F28,'Back-end'!$B$6:$B$125,"&gt;="&amp;I$17),IF($A28="PTS",SUMIFS('Back-end'!$H$6:$H$125,'Back-end'!$J$6:$J$125,AN$27,'Back-end'!$B$6:$B$125,"&gt;="&amp;$E28,'Back-end'!$J$6:$J$125,I$16,'Back-end'!$B$6:$B$125,"&lt;="&amp;I$18,'Back-end'!$B$6:$B$125,"&lt;="&amp;$F28,'Back-end'!$B$6:$B$125,"&gt;="&amp;I$17,'Back-end'!$C$6:$C$125,"Summer"),0))</f>
        <v>0</v>
      </c>
      <c r="AO28" s="153">
        <f>IF(OR($A28="PTG",$A28="PTA"),SUMIFS('Back-end'!$H$6:$H$125,'Back-end'!$J$6:$J$125,AO$27,'Back-end'!$B$6:$B$125,"&gt;="&amp;$E28,'Back-end'!$J$6:$J$125,J$16,'Back-end'!$B$6:$B$125,"&lt;="&amp;J$18,'Back-end'!$B$6:$B$125,"&lt;="&amp;$F28,'Back-end'!$B$6:$B$125,"&gt;="&amp;J$17),IF($A28="PTS",SUMIFS('Back-end'!$H$6:$H$125,'Back-end'!$J$6:$J$125,AO$27,'Back-end'!$B$6:$B$125,"&gt;="&amp;$E28,'Back-end'!$J$6:$J$125,J$16,'Back-end'!$B$6:$B$125,"&lt;="&amp;J$18,'Back-end'!$B$6:$B$125,"&lt;="&amp;$F28,'Back-end'!$B$6:$B$125,"&gt;="&amp;J$17,'Back-end'!$C$6:$C$125,"Summer"),0))</f>
        <v>0</v>
      </c>
      <c r="AP28" s="153">
        <f>IF(OR($A28="PTG",$A28="PTA"),SUMIFS('Back-end'!$H$6:$H$125,'Back-end'!$J$6:$J$125,AP$27,'Back-end'!$B$6:$B$125,"&gt;="&amp;$E28,'Back-end'!$J$6:$J$125,K$16,'Back-end'!$B$6:$B$125,"&lt;="&amp;K$18,'Back-end'!$B$6:$B$125,"&lt;="&amp;$F28,'Back-end'!$B$6:$B$125,"&gt;="&amp;K$17),IF($A28="PTS",SUMIFS('Back-end'!$H$6:$H$125,'Back-end'!$J$6:$J$125,AP$27,'Back-end'!$B$6:$B$125,"&gt;="&amp;$E28,'Back-end'!$J$6:$J$125,K$16,'Back-end'!$B$6:$B$125,"&lt;="&amp;K$18,'Back-end'!$B$6:$B$125,"&lt;="&amp;$F28,'Back-end'!$B$6:$B$125,"&gt;="&amp;K$17,'Back-end'!$C$6:$C$125,"Summer"),0))</f>
        <v>0</v>
      </c>
      <c r="AQ28" s="153">
        <f>IF(OR($A28="PTG",$A28="PTA"),SUMIFS('Back-end'!$H$6:$H$125,'Back-end'!$J$6:$J$125,AQ$27,'Back-end'!$B$6:$B$125,"&gt;="&amp;$E28,'Back-end'!$J$6:$J$125,L$16,'Back-end'!$B$6:$B$125,"&lt;="&amp;L$18,'Back-end'!$B$6:$B$125,"&lt;="&amp;$F28,'Back-end'!$B$6:$B$125,"&gt;="&amp;L$17),IF($A28="PTS",SUMIFS('Back-end'!$H$6:$H$125,'Back-end'!$J$6:$J$125,AQ$27,'Back-end'!$B$6:$B$125,"&gt;="&amp;$E28,'Back-end'!$J$6:$J$125,L$16,'Back-end'!$B$6:$B$125,"&lt;="&amp;L$18,'Back-end'!$B$6:$B$125,"&lt;="&amp;$F28,'Back-end'!$B$6:$B$125,"&gt;="&amp;L$17,'Back-end'!$C$6:$C$125,"Summer"),0))</f>
        <v>0</v>
      </c>
      <c r="AR28" s="153">
        <f>IF(OR($A28="PTG",$A28="PTA"),SUMIFS('Back-end'!$H$6:$H$125,'Back-end'!$J$6:$J$125,AR$27,'Back-end'!$B$6:$B$125,"&gt;="&amp;$E28,'Back-end'!$J$6:$J$125,M$16,'Back-end'!$B$6:$B$125,"&lt;="&amp;M$18,'Back-end'!$B$6:$B$125,"&lt;="&amp;$F28,'Back-end'!$B$6:$B$125,"&gt;="&amp;M$17),IF($A28="PTS",SUMIFS('Back-end'!$H$6:$H$125,'Back-end'!$J$6:$J$125,AR$27,'Back-end'!$B$6:$B$125,"&gt;="&amp;$E28,'Back-end'!$J$6:$J$125,M$16,'Back-end'!$B$6:$B$125,"&lt;="&amp;M$18,'Back-end'!$B$6:$B$125,"&lt;="&amp;$F28,'Back-end'!$B$6:$B$125,"&gt;="&amp;M$17,'Back-end'!$C$6:$C$125,"Summer"),0))</f>
        <v>0</v>
      </c>
      <c r="AS28" s="153">
        <f>IF(OR($A28="PTG",$A28="PTA"),SUMIFS('Back-end'!$H$6:$H$125,'Back-end'!$J$6:$J$125,AS$27,'Back-end'!$B$6:$B$125,"&gt;="&amp;$E28,'Back-end'!$J$6:$J$125,N$16,'Back-end'!$B$6:$B$125,"&lt;="&amp;N$18,'Back-end'!$B$6:$B$125,"&lt;="&amp;$F28,'Back-end'!$B$6:$B$125,"&gt;="&amp;N$17),IF($A28="PTS",SUMIFS('Back-end'!$H$6:$H$125,'Back-end'!$J$6:$J$125,AS$27,'Back-end'!$B$6:$B$125,"&gt;="&amp;$E28,'Back-end'!$J$6:$J$125,N$16,'Back-end'!$B$6:$B$125,"&lt;="&amp;N$18,'Back-end'!$B$6:$B$125,"&lt;="&amp;$F28,'Back-end'!$B$6:$B$125,"&gt;="&amp;N$17,'Back-end'!$C$6:$C$125,"Summer"),0))</f>
        <v>0</v>
      </c>
      <c r="AT28" s="153">
        <f>IF(OR($A28="PTG",$A28="PTA"),SUMIFS('Back-end'!$H$6:$H$125,'Back-end'!$J$6:$J$125,AT$27,'Back-end'!$B$6:$B$125,"&gt;="&amp;$E28,'Back-end'!$J$6:$J$125,O$16,'Back-end'!$B$6:$B$125,"&lt;="&amp;O$18,'Back-end'!$B$6:$B$125,"&lt;="&amp;$F28,'Back-end'!$B$6:$B$125,"&gt;="&amp;O$17),IF($A28="PTS",SUMIFS('Back-end'!$H$6:$H$125,'Back-end'!$J$6:$J$125,AT$27,'Back-end'!$B$6:$B$125,"&gt;="&amp;$E28,'Back-end'!$J$6:$J$125,O$16,'Back-end'!$B$6:$B$125,"&lt;="&amp;O$18,'Back-end'!$B$6:$B$125,"&lt;="&amp;$F28,'Back-end'!$B$6:$B$125,"&gt;="&amp;O$17,'Back-end'!$C$6:$C$125,"Summer"),0))</f>
        <v>0</v>
      </c>
      <c r="AU28" s="153">
        <f>IF(OR($A28="PTG",$A28="PTA"),SUMIFS('Back-end'!$H$6:$H$125,'Back-end'!$J$6:$J$125,AU$27,'Back-end'!$B$6:$B$125,"&gt;="&amp;$E28,'Back-end'!$J$6:$J$125,P$16,'Back-end'!$B$6:$B$125,"&lt;="&amp;P$18,'Back-end'!$B$6:$B$125,"&lt;="&amp;$F28,'Back-end'!$B$6:$B$125,"&gt;="&amp;P$17),IF($A28="PTS",SUMIFS('Back-end'!$H$6:$H$125,'Back-end'!$J$6:$J$125,AU$27,'Back-end'!$B$6:$B$125,"&gt;="&amp;$E28,'Back-end'!$J$6:$J$125,P$16,'Back-end'!$B$6:$B$125,"&lt;="&amp;P$18,'Back-end'!$B$6:$B$125,"&lt;="&amp;$F28,'Back-end'!$B$6:$B$125,"&gt;="&amp;P$17,'Back-end'!$C$6:$C$125,"Summer"),0))</f>
        <v>0</v>
      </c>
      <c r="AV28" s="153">
        <f>IF(OR($A28="PTG",$A28="PTA"),SUMIFS('Back-end'!$H$6:$H$125,'Back-end'!$J$6:$J$125,AV$27,'Back-end'!$B$6:$B$125,"&gt;="&amp;$E28,'Back-end'!$J$6:$J$125,Q$16,'Back-end'!$B$6:$B$125,"&lt;="&amp;Q$18,'Back-end'!$B$6:$B$125,"&lt;="&amp;$F28,'Back-end'!$B$6:$B$125,"&gt;="&amp;Q$17),IF($A28="PTS",SUMIFS('Back-end'!$H$6:$H$125,'Back-end'!$J$6:$J$125,AV$27,'Back-end'!$B$6:$B$125,"&gt;="&amp;$E28,'Back-end'!$J$6:$J$125,Q$16,'Back-end'!$B$6:$B$125,"&lt;="&amp;Q$18,'Back-end'!$B$6:$B$125,"&lt;="&amp;$F28,'Back-end'!$B$6:$B$125,"&gt;="&amp;Q$17,'Back-end'!$C$6:$C$125,"Summer"),0))</f>
        <v>0</v>
      </c>
      <c r="AW28" s="153">
        <f>IF(OR($A28="PTG",$A28="PTA"),SUMIFS('Back-end'!$H$6:$H$125,'Back-end'!$J$6:$J$125,AW$27,'Back-end'!$B$6:$B$125,"&gt;="&amp;$E28,'Back-end'!$J$6:$J$125,R$16,'Back-end'!$B$6:$B$125,"&lt;="&amp;R$18,'Back-end'!$B$6:$B$125,"&lt;="&amp;$F28,'Back-end'!$B$6:$B$125,"&gt;="&amp;R$17),IF($A28="PTS",SUMIFS('Back-end'!$H$6:$H$125,'Back-end'!$J$6:$J$125,AW$27,'Back-end'!$B$6:$B$125,"&gt;="&amp;$E28,'Back-end'!$J$6:$J$125,R$16,'Back-end'!$B$6:$B$125,"&lt;="&amp;R$18,'Back-end'!$B$6:$B$125,"&lt;="&amp;$F28,'Back-end'!$B$6:$B$125,"&gt;="&amp;R$17,'Back-end'!$C$6:$C$125,"Summer"),0))</f>
        <v>0</v>
      </c>
      <c r="AX28" s="2">
        <f>IF(OR($A28="PTG",$A28="PTA"),SUMIFS('Back-end'!$I$6:$I$125,'Back-end'!$J$6:$J$125,AD$27,'Back-end'!$B$6:$B$125,"&gt;="&amp;$E28,'Back-end'!$J$6:$J$125,I$16,'Back-end'!$B$6:$B$125,"&lt;="&amp;I$18,'Back-end'!$B$6:$B$125,"&lt;="&amp;$F28,'Back-end'!$B$6:$B$125,"&gt;="&amp;I$17),0)</f>
        <v>0</v>
      </c>
      <c r="AY28" s="2">
        <f>IF(OR($A28="PTG",$A28="PTA"),SUMIFS('Back-end'!$I$6:$I$125,'Back-end'!$J$6:$J$125,AE$27,'Back-end'!$B$6:$B$125,"&gt;="&amp;$E28,'Back-end'!$J$6:$J$125,J$16,'Back-end'!$B$6:$B$125,"&lt;="&amp;J$18,'Back-end'!$B$6:$B$125,"&lt;="&amp;$F28,'Back-end'!$B$6:$B$125,"&gt;="&amp;J$17),0)</f>
        <v>0</v>
      </c>
      <c r="AZ28" s="2">
        <f>IF(OR($A28="PTG",$A28="PTA"),SUMIFS('Back-end'!$I$6:$I$125,'Back-end'!$J$6:$J$125,AF$27,'Back-end'!$B$6:$B$125,"&gt;="&amp;$E28,'Back-end'!$J$6:$J$125,K$16,'Back-end'!$B$6:$B$125,"&lt;="&amp;K$18,'Back-end'!$B$6:$B$125,"&lt;="&amp;$F28,'Back-end'!$B$6:$B$125,"&gt;="&amp;K$17),0)</f>
        <v>0</v>
      </c>
      <c r="BA28" s="2">
        <f>IF(OR($A28="PTG",$A28="PTA"),SUMIFS('Back-end'!$I$6:$I$125,'Back-end'!$J$6:$J$125,AG$27,'Back-end'!$B$6:$B$125,"&gt;="&amp;$E28,'Back-end'!$J$6:$J$125,L$16,'Back-end'!$B$6:$B$125,"&lt;="&amp;L$18,'Back-end'!$B$6:$B$125,"&lt;="&amp;$F28,'Back-end'!$B$6:$B$125,"&gt;="&amp;L$17),0)</f>
        <v>0</v>
      </c>
      <c r="BB28" s="2">
        <f>IF(OR($A28="PTG",$A28="PTA"),SUMIFS('Back-end'!$I$6:$I$125,'Back-end'!$J$6:$J$125,AH$27,'Back-end'!$B$6:$B$125,"&gt;="&amp;$E28,'Back-end'!$J$6:$J$125,M$16,'Back-end'!$B$6:$B$125,"&lt;="&amp;M$18,'Back-end'!$B$6:$B$125,"&lt;="&amp;$F28,'Back-end'!$B$6:$B$125,"&gt;="&amp;M$17),0)</f>
        <v>0</v>
      </c>
      <c r="BC28" s="2">
        <f>IF(OR($A28="PTG",$A28="PTA"),SUMIFS('Back-end'!$I$6:$I$125,'Back-end'!$J$6:$J$125,AI$27,'Back-end'!$B$6:$B$125,"&gt;="&amp;$E28,'Back-end'!$J$6:$J$125,N$16,'Back-end'!$B$6:$B$125,"&lt;="&amp;N$18,'Back-end'!$B$6:$B$125,"&lt;="&amp;$F28,'Back-end'!$B$6:$B$125,"&gt;="&amp;N$17),0)</f>
        <v>0</v>
      </c>
      <c r="BD28" s="2">
        <f>IF(OR($A28="PTG",$A28="PTA"),SUMIFS('Back-end'!$I$6:$I$125,'Back-end'!$J$6:$J$125,AJ$27,'Back-end'!$B$6:$B$125,"&gt;="&amp;$E28,'Back-end'!$J$6:$J$125,O$16,'Back-end'!$B$6:$B$125,"&lt;="&amp;O$18,'Back-end'!$B$6:$B$125,"&lt;="&amp;$F28,'Back-end'!$B$6:$B$125,"&gt;="&amp;O$17),0)</f>
        <v>0</v>
      </c>
      <c r="BE28" s="2">
        <f>IF(OR($A28="PTG",$A28="PTA"),SUMIFS('Back-end'!$I$6:$I$125,'Back-end'!$J$6:$J$125,AK$27,'Back-end'!$B$6:$B$125,"&gt;="&amp;$E28,'Back-end'!$J$6:$J$125,P$16,'Back-end'!$B$6:$B$125,"&lt;="&amp;P$18,'Back-end'!$B$6:$B$125,"&lt;="&amp;$F28,'Back-end'!$B$6:$B$125,"&gt;="&amp;P$17),0)</f>
        <v>0</v>
      </c>
      <c r="BF28" s="2">
        <f>IF(OR($A28="PTG",$A28="PTA"),SUMIFS('Back-end'!$I$6:$I$125,'Back-end'!$J$6:$J$125,AL$27,'Back-end'!$B$6:$B$125,"&gt;="&amp;$E28,'Back-end'!$J$6:$J$125,Q$16,'Back-end'!$B$6:$B$125,"&lt;="&amp;Q$18,'Back-end'!$B$6:$B$125,"&lt;="&amp;$F28,'Back-end'!$B$6:$B$125,"&gt;="&amp;Q$17),0)</f>
        <v>0</v>
      </c>
      <c r="BG28" s="2">
        <f>IF(OR($A28="PTG",$A28="PTA"),SUMIFS('Back-end'!$I$6:$I$125,'Back-end'!$J$6:$J$125,AM$27,'Back-end'!$B$6:$B$125,"&gt;="&amp;$E28,'Back-end'!$J$6:$J$125,R$16,'Back-end'!$B$6:$B$125,"&lt;="&amp;R$18,'Back-end'!$B$6:$B$125,"&lt;="&amp;$F28,'Back-end'!$B$6:$B$125,"&gt;="&amp;R$17),0)</f>
        <v>0</v>
      </c>
    </row>
    <row r="29" spans="1:59" x14ac:dyDescent="0.25">
      <c r="C29" s="140" t="s">
        <v>18</v>
      </c>
      <c r="D29" s="141"/>
      <c r="E29" s="140"/>
      <c r="F29" s="140"/>
      <c r="G29" s="38"/>
      <c r="H29" s="39"/>
      <c r="I29" s="40">
        <f t="shared" ref="I29:S29" si="0">SUM(I28:I28)</f>
        <v>0</v>
      </c>
      <c r="J29" s="40">
        <f t="shared" si="0"/>
        <v>0</v>
      </c>
      <c r="K29" s="40">
        <f t="shared" si="0"/>
        <v>0</v>
      </c>
      <c r="L29" s="40">
        <f t="shared" si="0"/>
        <v>0</v>
      </c>
      <c r="M29" s="40">
        <f t="shared" si="0"/>
        <v>0</v>
      </c>
      <c r="N29" s="40">
        <f t="shared" si="0"/>
        <v>0</v>
      </c>
      <c r="O29" s="40">
        <f t="shared" si="0"/>
        <v>0</v>
      </c>
      <c r="P29" s="40">
        <f t="shared" si="0"/>
        <v>0</v>
      </c>
      <c r="Q29" s="40">
        <f t="shared" si="0"/>
        <v>0</v>
      </c>
      <c r="R29" s="40" t="e">
        <f t="shared" si="0"/>
        <v>#DIV/0!</v>
      </c>
      <c r="S29" s="92" t="e">
        <f t="shared" si="0"/>
        <v>#DIV/0!</v>
      </c>
      <c r="T29" s="3"/>
      <c r="V29" s="3"/>
    </row>
    <row r="30" spans="1:59" x14ac:dyDescent="0.25">
      <c r="C30" s="35" t="s">
        <v>10</v>
      </c>
      <c r="D30" s="33"/>
      <c r="E30" s="33"/>
      <c r="F30" s="33"/>
      <c r="G30" s="33"/>
      <c r="H30" s="33"/>
      <c r="I30" s="111" t="s">
        <v>143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"/>
    </row>
    <row r="31" spans="1:59" x14ac:dyDescent="0.25">
      <c r="A31" t="s">
        <v>98</v>
      </c>
      <c r="C31" s="144" t="s">
        <v>16</v>
      </c>
      <c r="D31" s="145"/>
      <c r="E31" s="144"/>
      <c r="F31" s="144"/>
      <c r="G31" s="36" t="s">
        <v>91</v>
      </c>
      <c r="H31" s="37" t="s">
        <v>92</v>
      </c>
      <c r="I31" s="36" t="s">
        <v>3</v>
      </c>
      <c r="J31" s="36" t="s">
        <v>4</v>
      </c>
      <c r="K31" s="36" t="s">
        <v>147</v>
      </c>
      <c r="L31" s="36" t="s">
        <v>151</v>
      </c>
      <c r="M31" s="36" t="s">
        <v>152</v>
      </c>
      <c r="N31" s="36" t="s">
        <v>169</v>
      </c>
      <c r="O31" s="36" t="s">
        <v>170</v>
      </c>
      <c r="P31" s="36" t="s">
        <v>171</v>
      </c>
      <c r="Q31" s="36" t="s">
        <v>172</v>
      </c>
      <c r="R31" s="36" t="s">
        <v>173</v>
      </c>
      <c r="S31" s="36" t="s">
        <v>5</v>
      </c>
      <c r="T31" s="3"/>
      <c r="U31" s="21"/>
      <c r="V31" s="3"/>
    </row>
    <row r="32" spans="1:59" x14ac:dyDescent="0.25">
      <c r="A32" t="s">
        <v>95</v>
      </c>
      <c r="C32" s="158" t="s">
        <v>13</v>
      </c>
      <c r="D32" s="160"/>
      <c r="E32" s="158"/>
      <c r="F32" s="158"/>
      <c r="G32" s="6">
        <f>VLOOKUP($C32,'Back-end'!$AF$6:$AI$9,MATCH(G$31,'Back-end'!$AF$5:$AI$5,0),FALSE)</f>
        <v>0.17</v>
      </c>
      <c r="H32" s="8">
        <f>VLOOKUP($C32,'Back-end'!$AF$6:$AI$9,MATCH(H$31,'Back-end'!$AF$5:$AI$5,0),FALSE)</f>
        <v>0.17100000000000001</v>
      </c>
      <c r="I32" s="3">
        <f>SUMIF($A$28:$A$29,#REF!,T$28:T$29)</f>
        <v>0</v>
      </c>
      <c r="J32" s="3">
        <f>SUMIF($A$28:$A$29,#REF!,U$28:U$29)</f>
        <v>0</v>
      </c>
      <c r="K32" s="3">
        <f>SUMIF($A$28:$A$29,#REF!,V$28:V$29)</f>
        <v>0</v>
      </c>
      <c r="L32" s="3">
        <f>SUMIF($A$28:$A$29,#REF!,W$28:W$29)</f>
        <v>0</v>
      </c>
      <c r="M32" s="3">
        <f>SUMIF($A$28:$A$29,#REF!,X$28:X$29)</f>
        <v>0</v>
      </c>
      <c r="N32" s="3">
        <f>SUMIF($A$28:$A$29,#REF!,Y$28:Y$29)</f>
        <v>0</v>
      </c>
      <c r="O32" s="3">
        <f>SUMIF($A$28:$A$29,#REF!,Z$28:Z$29)</f>
        <v>0</v>
      </c>
      <c r="P32" s="3">
        <f>SUMIF($A$28:$A$29,#REF!,AA$28:AA$29)</f>
        <v>0</v>
      </c>
      <c r="Q32" s="3">
        <f>SUMIF($A$28:$A$29,#REF!,AB$28:AB$29)</f>
        <v>0</v>
      </c>
      <c r="R32" s="3">
        <f>SUMIF($A$28:$A$29,#REF!,AC$28:AC$29)</f>
        <v>0</v>
      </c>
      <c r="S32" s="91">
        <f t="shared" ref="S32:S37" si="1">SUM(I32:R32)</f>
        <v>0</v>
      </c>
      <c r="T32" s="3"/>
      <c r="V32" s="3"/>
    </row>
    <row r="33" spans="1:23" x14ac:dyDescent="0.25">
      <c r="A33" t="s">
        <v>99</v>
      </c>
      <c r="C33" s="158" t="s">
        <v>14</v>
      </c>
      <c r="D33" s="160"/>
      <c r="E33" s="158"/>
      <c r="F33" s="158"/>
      <c r="G33" s="6">
        <f>VLOOKUP($C33,'Back-end'!$AF$6:$AI$9,MATCH(G$31,'Back-end'!$AF$5:$AI$5,0),FALSE)</f>
        <v>0.255</v>
      </c>
      <c r="H33" s="8">
        <f>VLOOKUP($C33,'Back-end'!$AF$6:$AI$9,MATCH(H$31,'Back-end'!$AF$5:$AI$5,0),FALSE)</f>
        <v>0.27700000000000002</v>
      </c>
      <c r="I33" s="3">
        <f>SUMIF($A$28:$A$29,#REF!,T$28:T$29)</f>
        <v>0</v>
      </c>
      <c r="J33" s="3">
        <f>SUMIF($A$28:$A$29,#REF!,U$28:U$29)</f>
        <v>0</v>
      </c>
      <c r="K33" s="3">
        <f>SUMIF($A$28:$A$29,#REF!,V$28:V$29)</f>
        <v>0</v>
      </c>
      <c r="L33" s="3">
        <f>SUMIF($A$28:$A$29,#REF!,W$28:W$29)</f>
        <v>0</v>
      </c>
      <c r="M33" s="3">
        <f>SUMIF($A$28:$A$29,#REF!,X$28:X$29)</f>
        <v>0</v>
      </c>
      <c r="N33" s="3">
        <f>SUMIF($A$28:$A$29,#REF!,Y$28:Y$29)</f>
        <v>0</v>
      </c>
      <c r="O33" s="3">
        <f>SUMIF($A$28:$A$29,#REF!,Z$28:Z$29)</f>
        <v>0</v>
      </c>
      <c r="P33" s="3">
        <f>SUMIF($A$28:$A$29,#REF!,AA$28:AA$29)</f>
        <v>0</v>
      </c>
      <c r="Q33" s="3">
        <f>SUMIF($A$28:$A$29,#REF!,AB$28:AB$29)</f>
        <v>0</v>
      </c>
      <c r="R33" s="3">
        <f>SUMIF($A$28:$A$29,#REF!,AC$28:AC$29)</f>
        <v>0</v>
      </c>
      <c r="S33" s="91">
        <f t="shared" si="1"/>
        <v>0</v>
      </c>
      <c r="T33" s="154"/>
      <c r="U33" s="154"/>
      <c r="V33" s="154"/>
      <c r="W33" s="154"/>
    </row>
    <row r="34" spans="1:23" x14ac:dyDescent="0.25">
      <c r="A34" t="s">
        <v>100</v>
      </c>
      <c r="C34" s="158" t="s">
        <v>155</v>
      </c>
      <c r="D34" s="160"/>
      <c r="E34" s="158"/>
      <c r="F34" s="158"/>
      <c r="G34" s="6">
        <f>VLOOKUP($C34,'Back-end'!$AF$6:$AI$9,MATCH(G$31,'Back-end'!$AF$5:$AI$5,0),FALSE)</f>
        <v>0.18</v>
      </c>
      <c r="H34" s="8">
        <f>VLOOKUP($C34,'Back-end'!$AF$6:$AI$9,MATCH(H$31,'Back-end'!$AF$5:$AI$5,0),FALSE)</f>
        <v>0.17799999999999999</v>
      </c>
      <c r="I34" s="3">
        <f>SUMIF($A$28:$A$29,#REF!,T$28:T$29)</f>
        <v>0</v>
      </c>
      <c r="J34" s="3">
        <f>SUMIF($A$28:$A$29,#REF!,U$28:U$29)</f>
        <v>0</v>
      </c>
      <c r="K34" s="3">
        <f>SUMIF($A$28:$A$29,#REF!,V$28:V$29)</f>
        <v>0</v>
      </c>
      <c r="L34" s="3">
        <f>SUMIF($A$28:$A$29,#REF!,W$28:W$29)</f>
        <v>0</v>
      </c>
      <c r="M34" s="3">
        <f>SUMIF($A$28:$A$29,#REF!,X$28:X$29)</f>
        <v>0</v>
      </c>
      <c r="N34" s="3">
        <f>SUMIF($A$28:$A$29,#REF!,Y$28:Y$29)</f>
        <v>0</v>
      </c>
      <c r="O34" s="3">
        <f>SUMIF($A$28:$A$29,#REF!,Z$28:Z$29)</f>
        <v>0</v>
      </c>
      <c r="P34" s="3">
        <f>SUMIF($A$28:$A$29,#REF!,AA$28:AA$29)</f>
        <v>0</v>
      </c>
      <c r="Q34" s="3">
        <f>SUMIF($A$28:$A$29,#REF!,AB$28:AB$29)</f>
        <v>0</v>
      </c>
      <c r="R34" s="3">
        <f>SUMIF($A$28:$A$29,#REF!,AC$28:AC$29)</f>
        <v>0</v>
      </c>
      <c r="S34" s="91">
        <f t="shared" si="1"/>
        <v>0</v>
      </c>
      <c r="T34" s="3"/>
      <c r="U34" s="3"/>
      <c r="V34" s="3"/>
      <c r="W34" s="3"/>
    </row>
    <row r="35" spans="1:23" x14ac:dyDescent="0.25">
      <c r="A35" t="s">
        <v>96</v>
      </c>
      <c r="B35" t="s">
        <v>107</v>
      </c>
      <c r="C35" s="158" t="s">
        <v>97</v>
      </c>
      <c r="D35" s="160"/>
      <c r="E35" s="158"/>
      <c r="F35" s="158"/>
      <c r="G35" s="6">
        <f>VLOOKUP($C35,'Back-end'!$AF$6:$AI$9,MATCH(G$31,'Back-end'!$AF$5:$AI$5,0),FALSE)</f>
        <v>0.08</v>
      </c>
      <c r="H35" s="8">
        <f>VLOOKUP($C35,'Back-end'!$AF$6:$AI$9,MATCH(H$31,'Back-end'!$AF$5:$AI$5,0),FALSE)</f>
        <v>8.3000000000000004E-2</v>
      </c>
      <c r="I35" s="3">
        <f>SUMIF($A$28:$A$29,#REF!,T$28:T$29)</f>
        <v>0</v>
      </c>
      <c r="J35" s="3">
        <f>SUMIF($A$28:$A$29,#REF!,U$28:U$29)</f>
        <v>0</v>
      </c>
      <c r="K35" s="3">
        <f>SUMIF($A$28:$A$29,#REF!,V$28:V$29)</f>
        <v>0</v>
      </c>
      <c r="L35" s="3">
        <f>SUMIF($A$28:$A$29,#REF!,W$28:W$29)</f>
        <v>0</v>
      </c>
      <c r="M35" s="3">
        <f>SUMIF($A$28:$A$29,#REF!,X$28:X$29)</f>
        <v>0</v>
      </c>
      <c r="N35" s="3">
        <f>SUMIF($A$28:$A$29,#REF!,Y$28:Y$29)</f>
        <v>0</v>
      </c>
      <c r="O35" s="3">
        <f>SUMIF($A$28:$A$29,#REF!,Z$28:Z$29)</f>
        <v>0</v>
      </c>
      <c r="P35" s="3">
        <f>SUMIF($A$28:$A$29,#REF!,AA$28:AA$29)</f>
        <v>0</v>
      </c>
      <c r="Q35" s="3">
        <f>SUMIF($A$28:$A$29,#REF!,AB$28:AB$29)</f>
        <v>0</v>
      </c>
      <c r="R35" s="3">
        <f>SUMIF($A$28:$A$29,#REF!,AC$28:AC$29)</f>
        <v>0</v>
      </c>
      <c r="S35" s="91">
        <f t="shared" si="1"/>
        <v>0</v>
      </c>
      <c r="T35" s="3" t="s">
        <v>108</v>
      </c>
      <c r="U35" s="3"/>
      <c r="V35" s="100"/>
      <c r="W35" s="3"/>
    </row>
    <row r="36" spans="1:23" x14ac:dyDescent="0.25">
      <c r="C36" s="140" t="s">
        <v>140</v>
      </c>
      <c r="D36" s="141"/>
      <c r="E36" s="140"/>
      <c r="F36" s="140"/>
      <c r="G36" s="38"/>
      <c r="H36" s="39"/>
      <c r="I36" s="40">
        <f t="shared" ref="I36:R36" si="2">SUM(I32:I35)</f>
        <v>0</v>
      </c>
      <c r="J36" s="40">
        <f t="shared" si="2"/>
        <v>0</v>
      </c>
      <c r="K36" s="40">
        <f t="shared" si="2"/>
        <v>0</v>
      </c>
      <c r="L36" s="40">
        <f t="shared" si="2"/>
        <v>0</v>
      </c>
      <c r="M36" s="40">
        <f t="shared" si="2"/>
        <v>0</v>
      </c>
      <c r="N36" s="40">
        <f t="shared" si="2"/>
        <v>0</v>
      </c>
      <c r="O36" s="40">
        <f t="shared" si="2"/>
        <v>0</v>
      </c>
      <c r="P36" s="40">
        <f t="shared" si="2"/>
        <v>0</v>
      </c>
      <c r="Q36" s="40">
        <f t="shared" si="2"/>
        <v>0</v>
      </c>
      <c r="R36" s="40">
        <f t="shared" si="2"/>
        <v>0</v>
      </c>
      <c r="S36" s="92">
        <f t="shared" si="1"/>
        <v>0</v>
      </c>
      <c r="T36" s="16"/>
      <c r="U36" s="3"/>
    </row>
    <row r="37" spans="1:23" x14ac:dyDescent="0.25">
      <c r="C37" s="227" t="s">
        <v>19</v>
      </c>
      <c r="D37" s="228"/>
      <c r="E37" s="157"/>
      <c r="F37" s="157"/>
      <c r="G37" s="41"/>
      <c r="H37" s="42"/>
      <c r="I37" s="43">
        <f t="shared" ref="I37:R37" si="3">I29+I36</f>
        <v>0</v>
      </c>
      <c r="J37" s="43">
        <f t="shared" si="3"/>
        <v>0</v>
      </c>
      <c r="K37" s="43">
        <f t="shared" si="3"/>
        <v>0</v>
      </c>
      <c r="L37" s="43">
        <f t="shared" si="3"/>
        <v>0</v>
      </c>
      <c r="M37" s="43">
        <f t="shared" si="3"/>
        <v>0</v>
      </c>
      <c r="N37" s="43">
        <f t="shared" si="3"/>
        <v>0</v>
      </c>
      <c r="O37" s="43">
        <f t="shared" si="3"/>
        <v>0</v>
      </c>
      <c r="P37" s="43">
        <f t="shared" si="3"/>
        <v>0</v>
      </c>
      <c r="Q37" s="43">
        <f t="shared" si="3"/>
        <v>0</v>
      </c>
      <c r="R37" s="43" t="e">
        <f t="shared" si="3"/>
        <v>#DIV/0!</v>
      </c>
      <c r="S37" s="93" t="e">
        <f t="shared" si="1"/>
        <v>#DIV/0!</v>
      </c>
    </row>
    <row r="38" spans="1:23" x14ac:dyDescent="0.25">
      <c r="U38" s="3"/>
      <c r="W38" s="3"/>
    </row>
    <row r="39" spans="1:23" x14ac:dyDescent="0.25">
      <c r="C39" s="135" t="s">
        <v>21</v>
      </c>
      <c r="D39" s="135"/>
      <c r="E39" s="135"/>
      <c r="F39" s="135"/>
      <c r="G39" s="49"/>
      <c r="H39" s="49"/>
      <c r="I39" s="49"/>
      <c r="J39" s="50"/>
      <c r="K39" s="50"/>
      <c r="L39" s="50"/>
      <c r="M39" s="50"/>
      <c r="N39" s="50"/>
      <c r="O39" s="50"/>
      <c r="P39" s="50"/>
      <c r="Q39" s="50"/>
      <c r="R39" s="50"/>
      <c r="S39" s="94"/>
      <c r="U39" s="3"/>
    </row>
    <row r="40" spans="1:23" x14ac:dyDescent="0.25">
      <c r="C40" s="139" t="s">
        <v>22</v>
      </c>
      <c r="D40" s="139"/>
      <c r="E40" s="139"/>
      <c r="F40" s="139"/>
      <c r="G40" s="46"/>
      <c r="H40" s="46"/>
      <c r="I40" s="85" t="s">
        <v>143</v>
      </c>
      <c r="J40" s="46"/>
      <c r="K40" s="46"/>
      <c r="L40" s="46"/>
      <c r="M40" s="46"/>
      <c r="N40" s="46"/>
      <c r="O40" s="46"/>
      <c r="P40" s="46"/>
      <c r="Q40" s="46"/>
      <c r="R40" s="46"/>
      <c r="S40" s="46"/>
    </row>
    <row r="41" spans="1:23" x14ac:dyDescent="0.25">
      <c r="C41" s="48"/>
      <c r="D41" s="134"/>
      <c r="E41" s="48"/>
      <c r="F41" s="48"/>
      <c r="G41" s="48"/>
      <c r="H41" s="134"/>
      <c r="I41" s="48" t="s">
        <v>3</v>
      </c>
      <c r="J41" s="48" t="s">
        <v>4</v>
      </c>
      <c r="K41" s="48" t="s">
        <v>147</v>
      </c>
      <c r="L41" s="48" t="s">
        <v>151</v>
      </c>
      <c r="M41" s="48" t="s">
        <v>152</v>
      </c>
      <c r="N41" s="48" t="s">
        <v>169</v>
      </c>
      <c r="O41" s="48" t="s">
        <v>170</v>
      </c>
      <c r="P41" s="48" t="s">
        <v>171</v>
      </c>
      <c r="Q41" s="48" t="s">
        <v>172</v>
      </c>
      <c r="R41" s="48" t="s">
        <v>173</v>
      </c>
      <c r="S41" s="48" t="s">
        <v>5</v>
      </c>
      <c r="T41" s="3"/>
    </row>
    <row r="42" spans="1:23" x14ac:dyDescent="0.25">
      <c r="C42" s="211" t="s">
        <v>176</v>
      </c>
      <c r="D42" s="214"/>
      <c r="E42" s="158"/>
      <c r="F42" s="158"/>
      <c r="H42" s="11"/>
      <c r="I42" s="31">
        <v>6000</v>
      </c>
      <c r="J42" s="31">
        <v>1</v>
      </c>
      <c r="K42" s="31">
        <v>2</v>
      </c>
      <c r="L42" s="31">
        <v>2</v>
      </c>
      <c r="M42" s="31">
        <v>3</v>
      </c>
      <c r="N42" s="31"/>
      <c r="O42" s="31"/>
      <c r="P42" s="31"/>
      <c r="Q42" s="31"/>
      <c r="R42" s="31"/>
      <c r="S42" s="91">
        <f t="shared" ref="S42:S50" si="4">SUM(I42:M42)</f>
        <v>6008</v>
      </c>
    </row>
    <row r="43" spans="1:23" x14ac:dyDescent="0.25">
      <c r="C43" s="159" t="s">
        <v>20</v>
      </c>
      <c r="D43" s="136"/>
      <c r="E43" s="165"/>
      <c r="F43" s="159"/>
      <c r="G43" s="104"/>
      <c r="H43" s="105"/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7">
        <f>SUM(I43:R43)</f>
        <v>0</v>
      </c>
    </row>
    <row r="44" spans="1:23" x14ac:dyDescent="0.25">
      <c r="C44" s="212" t="s">
        <v>175</v>
      </c>
      <c r="D44" s="214"/>
      <c r="E44" s="165"/>
      <c r="F44" s="159"/>
      <c r="G44" s="104"/>
      <c r="H44" s="105"/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7">
        <f>SUM(I44:R44)</f>
        <v>0</v>
      </c>
    </row>
    <row r="45" spans="1:23" x14ac:dyDescent="0.25">
      <c r="C45" s="159" t="s">
        <v>0</v>
      </c>
      <c r="D45" s="136"/>
      <c r="E45" s="159" t="s">
        <v>195</v>
      </c>
      <c r="F45" s="159"/>
      <c r="G45" s="108"/>
      <c r="H45" s="105"/>
      <c r="I45" s="106">
        <f t="shared" ref="I45:R45" si="5">SUM(AD28:AD28)</f>
        <v>0</v>
      </c>
      <c r="J45" s="106">
        <f t="shared" si="5"/>
        <v>0</v>
      </c>
      <c r="K45" s="106">
        <f t="shared" si="5"/>
        <v>0</v>
      </c>
      <c r="L45" s="106">
        <f t="shared" si="5"/>
        <v>0</v>
      </c>
      <c r="M45" s="106">
        <f t="shared" si="5"/>
        <v>0</v>
      </c>
      <c r="N45" s="106">
        <f t="shared" si="5"/>
        <v>0</v>
      </c>
      <c r="O45" s="106">
        <f t="shared" si="5"/>
        <v>0</v>
      </c>
      <c r="P45" s="106">
        <f t="shared" si="5"/>
        <v>0</v>
      </c>
      <c r="Q45" s="106">
        <f t="shared" si="5"/>
        <v>0</v>
      </c>
      <c r="R45" s="106">
        <f t="shared" si="5"/>
        <v>0</v>
      </c>
      <c r="S45" s="107">
        <f t="shared" si="4"/>
        <v>0</v>
      </c>
    </row>
    <row r="46" spans="1:23" x14ac:dyDescent="0.25">
      <c r="C46" s="159" t="s">
        <v>1</v>
      </c>
      <c r="D46" s="136"/>
      <c r="E46" s="159" t="s">
        <v>195</v>
      </c>
      <c r="F46" s="159"/>
      <c r="G46" s="108"/>
      <c r="H46" s="105"/>
      <c r="I46" s="106">
        <f t="shared" ref="I46:R46" si="6">SUM(AN28:AN28)</f>
        <v>0</v>
      </c>
      <c r="J46" s="106">
        <f t="shared" si="6"/>
        <v>0</v>
      </c>
      <c r="K46" s="106">
        <f t="shared" si="6"/>
        <v>0</v>
      </c>
      <c r="L46" s="106">
        <f t="shared" si="6"/>
        <v>0</v>
      </c>
      <c r="M46" s="106">
        <f t="shared" si="6"/>
        <v>0</v>
      </c>
      <c r="N46" s="106">
        <f t="shared" si="6"/>
        <v>0</v>
      </c>
      <c r="O46" s="106">
        <f t="shared" si="6"/>
        <v>0</v>
      </c>
      <c r="P46" s="106">
        <f t="shared" si="6"/>
        <v>0</v>
      </c>
      <c r="Q46" s="106">
        <f t="shared" si="6"/>
        <v>0</v>
      </c>
      <c r="R46" s="106">
        <f t="shared" si="6"/>
        <v>0</v>
      </c>
      <c r="S46" s="107">
        <f t="shared" si="4"/>
        <v>0</v>
      </c>
    </row>
    <row r="47" spans="1:23" x14ac:dyDescent="0.25">
      <c r="C47" s="159" t="s">
        <v>2</v>
      </c>
      <c r="D47" s="136"/>
      <c r="E47" s="159" t="s">
        <v>195</v>
      </c>
      <c r="F47" s="159"/>
      <c r="G47" s="108"/>
      <c r="H47" s="105"/>
      <c r="I47" s="106">
        <f t="shared" ref="I47:R47" si="7">SUM(AX28:AX28)</f>
        <v>0</v>
      </c>
      <c r="J47" s="106">
        <f t="shared" si="7"/>
        <v>0</v>
      </c>
      <c r="K47" s="106">
        <f t="shared" si="7"/>
        <v>0</v>
      </c>
      <c r="L47" s="106">
        <f t="shared" si="7"/>
        <v>0</v>
      </c>
      <c r="M47" s="106">
        <f t="shared" si="7"/>
        <v>0</v>
      </c>
      <c r="N47" s="106">
        <f t="shared" si="7"/>
        <v>0</v>
      </c>
      <c r="O47" s="106">
        <f t="shared" si="7"/>
        <v>0</v>
      </c>
      <c r="P47" s="106">
        <f t="shared" si="7"/>
        <v>0</v>
      </c>
      <c r="Q47" s="106">
        <f t="shared" si="7"/>
        <v>0</v>
      </c>
      <c r="R47" s="106">
        <f t="shared" si="7"/>
        <v>0</v>
      </c>
      <c r="S47" s="107">
        <f t="shared" si="4"/>
        <v>0</v>
      </c>
    </row>
    <row r="48" spans="1:23" x14ac:dyDescent="0.25">
      <c r="C48" s="142" t="s">
        <v>23</v>
      </c>
      <c r="D48" s="142"/>
      <c r="E48" s="99"/>
      <c r="F48" s="99"/>
      <c r="G48" s="51"/>
      <c r="H48" s="52"/>
      <c r="I48" s="53">
        <f t="shared" ref="I48:R48" si="8">SUM(I42:I47)-I49</f>
        <v>6000</v>
      </c>
      <c r="J48" s="53">
        <f t="shared" si="8"/>
        <v>1</v>
      </c>
      <c r="K48" s="53">
        <f t="shared" si="8"/>
        <v>2</v>
      </c>
      <c r="L48" s="53">
        <f t="shared" si="8"/>
        <v>2</v>
      </c>
      <c r="M48" s="53">
        <f t="shared" si="8"/>
        <v>3</v>
      </c>
      <c r="N48" s="53">
        <f t="shared" si="8"/>
        <v>0</v>
      </c>
      <c r="O48" s="53">
        <f t="shared" si="8"/>
        <v>0</v>
      </c>
      <c r="P48" s="53">
        <f t="shared" si="8"/>
        <v>0</v>
      </c>
      <c r="Q48" s="53">
        <f t="shared" si="8"/>
        <v>0</v>
      </c>
      <c r="R48" s="53">
        <f t="shared" si="8"/>
        <v>0</v>
      </c>
      <c r="S48" s="95">
        <f>SUM(I48:R48)</f>
        <v>6008</v>
      </c>
    </row>
    <row r="49" spans="3:19" x14ac:dyDescent="0.25">
      <c r="C49" s="142" t="s">
        <v>25</v>
      </c>
      <c r="D49" s="142"/>
      <c r="E49" s="99"/>
      <c r="F49" s="99"/>
      <c r="G49" s="51"/>
      <c r="H49" s="52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95">
        <f>SUM(I49:M49)</f>
        <v>0</v>
      </c>
    </row>
    <row r="50" spans="3:19" x14ac:dyDescent="0.25">
      <c r="C50" s="217" t="s">
        <v>24</v>
      </c>
      <c r="D50" s="218"/>
      <c r="E50" s="155"/>
      <c r="F50" s="155"/>
      <c r="G50" s="54"/>
      <c r="H50" s="55"/>
      <c r="I50" s="56">
        <f t="shared" ref="I50:R50" si="9">I37+I48+I49</f>
        <v>6000</v>
      </c>
      <c r="J50" s="56">
        <f t="shared" si="9"/>
        <v>1</v>
      </c>
      <c r="K50" s="56">
        <f t="shared" si="9"/>
        <v>2</v>
      </c>
      <c r="L50" s="56">
        <f t="shared" si="9"/>
        <v>2</v>
      </c>
      <c r="M50" s="56">
        <f t="shared" si="9"/>
        <v>3</v>
      </c>
      <c r="N50" s="56">
        <f t="shared" si="9"/>
        <v>0</v>
      </c>
      <c r="O50" s="56">
        <f t="shared" si="9"/>
        <v>0</v>
      </c>
      <c r="P50" s="56">
        <f t="shared" si="9"/>
        <v>0</v>
      </c>
      <c r="Q50" s="56">
        <f t="shared" si="9"/>
        <v>0</v>
      </c>
      <c r="R50" s="56" t="e">
        <f t="shared" si="9"/>
        <v>#DIV/0!</v>
      </c>
      <c r="S50" s="96">
        <f t="shared" si="4"/>
        <v>6008</v>
      </c>
    </row>
    <row r="52" spans="3:19" x14ac:dyDescent="0.25">
      <c r="C52" s="143" t="s">
        <v>26</v>
      </c>
      <c r="D52" s="143"/>
      <c r="E52" s="143"/>
      <c r="F52" s="143"/>
      <c r="G52" s="63"/>
      <c r="H52" s="44"/>
      <c r="I52" s="63"/>
      <c r="J52" s="64"/>
      <c r="K52" s="64"/>
      <c r="L52" s="64"/>
      <c r="M52" s="64"/>
      <c r="N52" s="64"/>
      <c r="O52" s="64"/>
      <c r="P52" s="64"/>
      <c r="Q52" s="64"/>
      <c r="R52" s="64"/>
      <c r="S52" s="97"/>
    </row>
    <row r="53" spans="3:19" x14ac:dyDescent="0.25">
      <c r="C53" s="146" t="s">
        <v>28</v>
      </c>
      <c r="D53" s="146"/>
      <c r="E53" s="146"/>
      <c r="F53" s="146"/>
      <c r="G53" s="45"/>
      <c r="H53" s="45"/>
      <c r="I53" s="89" t="s">
        <v>143</v>
      </c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3:19" x14ac:dyDescent="0.25">
      <c r="C54" s="229"/>
      <c r="D54" s="230"/>
      <c r="E54" s="65"/>
      <c r="F54" s="65"/>
      <c r="G54" s="65" t="s">
        <v>71</v>
      </c>
      <c r="H54" s="164" t="s">
        <v>72</v>
      </c>
      <c r="I54" s="65" t="s">
        <v>3</v>
      </c>
      <c r="J54" s="65" t="s">
        <v>4</v>
      </c>
      <c r="K54" s="65" t="s">
        <v>147</v>
      </c>
      <c r="L54" s="65" t="s">
        <v>151</v>
      </c>
      <c r="M54" s="65" t="s">
        <v>152</v>
      </c>
      <c r="N54" s="65" t="s">
        <v>169</v>
      </c>
      <c r="O54" s="65" t="s">
        <v>170</v>
      </c>
      <c r="P54" s="65" t="s">
        <v>171</v>
      </c>
      <c r="Q54" s="65" t="s">
        <v>172</v>
      </c>
      <c r="R54" s="65" t="s">
        <v>173</v>
      </c>
      <c r="S54" s="65" t="s">
        <v>5</v>
      </c>
    </row>
    <row r="55" spans="3:19" x14ac:dyDescent="0.25">
      <c r="C55" s="158" t="s">
        <v>20</v>
      </c>
      <c r="D55" s="160"/>
      <c r="E55" s="158"/>
      <c r="F55" s="158"/>
      <c r="H55" s="11"/>
      <c r="I55" s="2">
        <f>I43</f>
        <v>0</v>
      </c>
      <c r="J55" s="2">
        <f t="shared" ref="J55:R55" si="10">J43</f>
        <v>0</v>
      </c>
      <c r="K55" s="2">
        <f t="shared" si="10"/>
        <v>0</v>
      </c>
      <c r="L55" s="2">
        <f t="shared" si="10"/>
        <v>0</v>
      </c>
      <c r="M55" s="2">
        <f t="shared" si="10"/>
        <v>0</v>
      </c>
      <c r="N55" s="2">
        <f t="shared" si="10"/>
        <v>0</v>
      </c>
      <c r="O55" s="2">
        <f t="shared" si="10"/>
        <v>0</v>
      </c>
      <c r="P55" s="2">
        <f t="shared" si="10"/>
        <v>0</v>
      </c>
      <c r="Q55" s="2">
        <f t="shared" si="10"/>
        <v>0</v>
      </c>
      <c r="R55" s="2">
        <f t="shared" si="10"/>
        <v>0</v>
      </c>
      <c r="S55" s="91">
        <f>SUM(I55:R55)</f>
        <v>0</v>
      </c>
    </row>
    <row r="56" spans="3:19" x14ac:dyDescent="0.25">
      <c r="C56" s="158" t="s">
        <v>175</v>
      </c>
      <c r="D56" s="160"/>
      <c r="E56" s="158"/>
      <c r="F56" s="158"/>
      <c r="H56" s="11"/>
      <c r="I56" s="2" t="e">
        <f>MIN(I44,25000)+MIN(#REF!,25000)</f>
        <v>#REF!</v>
      </c>
      <c r="J56" s="2" t="e">
        <f>MIN(J44,25000)+MIN(#REF!,25000)</f>
        <v>#REF!</v>
      </c>
      <c r="K56" s="2" t="e">
        <f>MIN(K44,25000)+MIN(#REF!,25000)</f>
        <v>#REF!</v>
      </c>
      <c r="L56" s="2" t="e">
        <f>MIN(L44,25000)+MIN(#REF!,25000)</f>
        <v>#REF!</v>
      </c>
      <c r="M56" s="2" t="e">
        <f>MIN(M44,25000)+MIN(#REF!,25000)</f>
        <v>#REF!</v>
      </c>
      <c r="N56" s="2" t="e">
        <f>MIN(N44,25000)+MIN(#REF!,25000)</f>
        <v>#REF!</v>
      </c>
      <c r="O56" s="2" t="e">
        <f>MIN(O44,25000)+MIN(#REF!,25000)</f>
        <v>#REF!</v>
      </c>
      <c r="P56" s="2" t="e">
        <f>MIN(P44,25000)+MIN(#REF!,25000)</f>
        <v>#REF!</v>
      </c>
      <c r="Q56" s="2" t="e">
        <f>MIN(Q44,25000)+MIN(#REF!,25000)</f>
        <v>#REF!</v>
      </c>
      <c r="R56" s="2" t="e">
        <f>MIN(R44,25000)+MIN(#REF!,25000)</f>
        <v>#REF!</v>
      </c>
      <c r="S56" s="91" t="e">
        <f>SUM(I56:R56)</f>
        <v>#REF!</v>
      </c>
    </row>
    <row r="57" spans="3:19" x14ac:dyDescent="0.25">
      <c r="C57" s="158" t="s">
        <v>0</v>
      </c>
      <c r="D57" s="160"/>
      <c r="E57" s="158"/>
      <c r="G57" s="179">
        <f>VLOOKUP(G$54,'Back-end'!$AA$5:$AD$14,MATCH($C57,'Back-end'!$AB$5:$AD$5,0)+1)</f>
        <v>4009.2</v>
      </c>
      <c r="H57" s="7">
        <f>VLOOKUP(H54,'Back-end'!$AA$5:$AD$14,MATCH($C57,'Back-end'!$AB$5:$AD$5,0)+1)</f>
        <v>4169.5680000000002</v>
      </c>
      <c r="I57" s="3">
        <f t="shared" ref="I57:R59" si="11">I45</f>
        <v>0</v>
      </c>
      <c r="J57" s="3">
        <f t="shared" si="11"/>
        <v>0</v>
      </c>
      <c r="K57" s="3">
        <f t="shared" si="11"/>
        <v>0</v>
      </c>
      <c r="L57" s="3">
        <f t="shared" si="11"/>
        <v>0</v>
      </c>
      <c r="M57" s="3">
        <f t="shared" si="11"/>
        <v>0</v>
      </c>
      <c r="N57" s="3">
        <f t="shared" si="11"/>
        <v>0</v>
      </c>
      <c r="O57" s="3">
        <f t="shared" si="11"/>
        <v>0</v>
      </c>
      <c r="P57" s="3">
        <f t="shared" si="11"/>
        <v>0</v>
      </c>
      <c r="Q57" s="3">
        <f t="shared" si="11"/>
        <v>0</v>
      </c>
      <c r="R57" s="3">
        <f t="shared" si="11"/>
        <v>0</v>
      </c>
      <c r="S57" s="91">
        <f>SUM(I57:R57)</f>
        <v>0</v>
      </c>
    </row>
    <row r="58" spans="3:19" x14ac:dyDescent="0.25">
      <c r="C58" s="158" t="s">
        <v>1</v>
      </c>
      <c r="D58" s="160"/>
      <c r="E58" s="158"/>
      <c r="G58" s="179">
        <f>VLOOKUP(G$54,'Back-end'!$AA$5:$AD$14,MATCH($C58,'Back-end'!$AB$5:$AD$5,0)+1)</f>
        <v>2037</v>
      </c>
      <c r="H58" s="7">
        <f>VLOOKUP(H$54,'Back-end'!$AA$5:$AD$14,MATCH($C58,'Back-end'!$AB$5:$AD$5,0)+1)</f>
        <v>2118.48</v>
      </c>
      <c r="I58" s="3">
        <f t="shared" si="11"/>
        <v>0</v>
      </c>
      <c r="J58" s="3">
        <f t="shared" si="11"/>
        <v>0</v>
      </c>
      <c r="K58" s="3">
        <f t="shared" si="11"/>
        <v>0</v>
      </c>
      <c r="L58" s="3">
        <f t="shared" si="11"/>
        <v>0</v>
      </c>
      <c r="M58" s="3">
        <f t="shared" si="11"/>
        <v>0</v>
      </c>
      <c r="N58" s="3">
        <f t="shared" si="11"/>
        <v>0</v>
      </c>
      <c r="O58" s="3">
        <f t="shared" si="11"/>
        <v>0</v>
      </c>
      <c r="P58" s="3">
        <f t="shared" si="11"/>
        <v>0</v>
      </c>
      <c r="Q58" s="3">
        <f t="shared" si="11"/>
        <v>0</v>
      </c>
      <c r="R58" s="3">
        <f t="shared" si="11"/>
        <v>0</v>
      </c>
      <c r="S58" s="91">
        <f>SUM(I58:R58)</f>
        <v>0</v>
      </c>
    </row>
    <row r="59" spans="3:19" x14ac:dyDescent="0.25">
      <c r="C59" s="158" t="s">
        <v>68</v>
      </c>
      <c r="D59" s="160"/>
      <c r="E59" s="158"/>
      <c r="G59" s="179">
        <f>VLOOKUP(G$54,'Back-end'!$AA$5:$AD$14,MATCH($C59,'Back-end'!$AB$5:$AD$5,0)+1)</f>
        <v>710</v>
      </c>
      <c r="H59" s="7">
        <f>VLOOKUP(H$54,'Back-end'!$AA$5:$AD$14,MATCH($C59,'Back-end'!$AB$5:$AD$5,0)+1)</f>
        <v>738.4</v>
      </c>
      <c r="I59" s="3">
        <f t="shared" si="11"/>
        <v>0</v>
      </c>
      <c r="J59" s="3">
        <f t="shared" si="11"/>
        <v>0</v>
      </c>
      <c r="K59" s="3">
        <f t="shared" si="11"/>
        <v>0</v>
      </c>
      <c r="L59" s="3">
        <f t="shared" si="11"/>
        <v>0</v>
      </c>
      <c r="M59" s="3">
        <f t="shared" si="11"/>
        <v>0</v>
      </c>
      <c r="N59" s="3">
        <f t="shared" si="11"/>
        <v>0</v>
      </c>
      <c r="O59" s="3">
        <f t="shared" si="11"/>
        <v>0</v>
      </c>
      <c r="P59" s="3">
        <f t="shared" si="11"/>
        <v>0</v>
      </c>
      <c r="Q59" s="3">
        <f t="shared" si="11"/>
        <v>0</v>
      </c>
      <c r="R59" s="3">
        <f t="shared" si="11"/>
        <v>0</v>
      </c>
      <c r="S59" s="91">
        <f>SUM(I59:R59)</f>
        <v>0</v>
      </c>
    </row>
    <row r="60" spans="3:19" x14ac:dyDescent="0.25">
      <c r="C60" s="137" t="s">
        <v>29</v>
      </c>
      <c r="D60" s="138"/>
      <c r="E60" s="137"/>
      <c r="F60" s="137"/>
      <c r="G60" s="60"/>
      <c r="H60" s="62"/>
      <c r="I60" s="61" t="e">
        <f>SUM(I55:I59)</f>
        <v>#REF!</v>
      </c>
      <c r="J60" s="61" t="e">
        <f t="shared" ref="J60:R60" si="12">SUM(J55:J59)</f>
        <v>#REF!</v>
      </c>
      <c r="K60" s="61" t="e">
        <f t="shared" si="12"/>
        <v>#REF!</v>
      </c>
      <c r="L60" s="61" t="e">
        <f t="shared" si="12"/>
        <v>#REF!</v>
      </c>
      <c r="M60" s="61" t="e">
        <f t="shared" si="12"/>
        <v>#REF!</v>
      </c>
      <c r="N60" s="61" t="e">
        <f t="shared" si="12"/>
        <v>#REF!</v>
      </c>
      <c r="O60" s="61" t="e">
        <f t="shared" si="12"/>
        <v>#REF!</v>
      </c>
      <c r="P60" s="61" t="e">
        <f t="shared" si="12"/>
        <v>#REF!</v>
      </c>
      <c r="Q60" s="61" t="e">
        <f t="shared" si="12"/>
        <v>#REF!</v>
      </c>
      <c r="R60" s="61" t="e">
        <f t="shared" si="12"/>
        <v>#REF!</v>
      </c>
      <c r="S60" s="87" t="e">
        <f>SUM(I60:M60)</f>
        <v>#REF!</v>
      </c>
    </row>
    <row r="61" spans="3:19" x14ac:dyDescent="0.25">
      <c r="C61" s="137" t="s">
        <v>31</v>
      </c>
      <c r="D61" s="138"/>
      <c r="E61" s="137"/>
      <c r="F61" s="137"/>
      <c r="G61" s="60"/>
      <c r="H61" s="62"/>
      <c r="I61" s="61" t="e">
        <f t="shared" ref="I61:R61" si="13">I50-I60</f>
        <v>#REF!</v>
      </c>
      <c r="J61" s="61" t="e">
        <f t="shared" si="13"/>
        <v>#REF!</v>
      </c>
      <c r="K61" s="61" t="e">
        <f t="shared" si="13"/>
        <v>#REF!</v>
      </c>
      <c r="L61" s="61" t="e">
        <f t="shared" si="13"/>
        <v>#REF!</v>
      </c>
      <c r="M61" s="61" t="e">
        <f t="shared" si="13"/>
        <v>#REF!</v>
      </c>
      <c r="N61" s="61" t="e">
        <f t="shared" si="13"/>
        <v>#REF!</v>
      </c>
      <c r="O61" s="61" t="e">
        <f t="shared" si="13"/>
        <v>#REF!</v>
      </c>
      <c r="P61" s="61" t="e">
        <f t="shared" si="13"/>
        <v>#REF!</v>
      </c>
      <c r="Q61" s="61" t="e">
        <f t="shared" si="13"/>
        <v>#REF!</v>
      </c>
      <c r="R61" s="61" t="e">
        <f t="shared" si="13"/>
        <v>#DIV/0!</v>
      </c>
      <c r="S61" s="87" t="e">
        <f>SUM(I61:M61)</f>
        <v>#REF!</v>
      </c>
    </row>
    <row r="62" spans="3:19" x14ac:dyDescent="0.25">
      <c r="C62" s="130" t="s">
        <v>30</v>
      </c>
      <c r="D62" s="131"/>
      <c r="E62" s="130" t="s">
        <v>27</v>
      </c>
      <c r="F62" s="130">
        <f>'Input Sheet'!$B$39</f>
        <v>0.56000000000000005</v>
      </c>
      <c r="G62" s="57"/>
      <c r="H62" s="58"/>
      <c r="I62" s="59" t="e">
        <f>I61*'Input Sheet'!$B$39</f>
        <v>#REF!</v>
      </c>
      <c r="J62" s="59" t="e">
        <f>J61*'Input Sheet'!$B$39</f>
        <v>#REF!</v>
      </c>
      <c r="K62" s="59" t="e">
        <f>K61*'Input Sheet'!$B$39</f>
        <v>#REF!</v>
      </c>
      <c r="L62" s="59" t="e">
        <f>L61*'Input Sheet'!$B$39</f>
        <v>#REF!</v>
      </c>
      <c r="M62" s="59" t="e">
        <f>M61*'Input Sheet'!$B$39</f>
        <v>#REF!</v>
      </c>
      <c r="N62" s="59" t="e">
        <f>N61*'Input Sheet'!$B$39</f>
        <v>#REF!</v>
      </c>
      <c r="O62" s="59" t="e">
        <f>O61*'Input Sheet'!$B$39</f>
        <v>#REF!</v>
      </c>
      <c r="P62" s="59" t="e">
        <f>P61*'Input Sheet'!$B$39</f>
        <v>#REF!</v>
      </c>
      <c r="Q62" s="59" t="e">
        <f>Q61*'Input Sheet'!$B$39</f>
        <v>#REF!</v>
      </c>
      <c r="R62" s="59" t="e">
        <f>R61*'Input Sheet'!$B$39</f>
        <v>#DIV/0!</v>
      </c>
      <c r="S62" s="88" t="e">
        <f>SUM(I62:M62)</f>
        <v>#REF!</v>
      </c>
    </row>
    <row r="63" spans="3:19" x14ac:dyDescent="0.25">
      <c r="C63" s="15"/>
      <c r="G63" s="12"/>
      <c r="H63" s="16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6"/>
    </row>
    <row r="64" spans="3:19" x14ac:dyDescent="0.25">
      <c r="C64" s="75" t="s">
        <v>30</v>
      </c>
      <c r="D64" s="75"/>
      <c r="E64" s="75"/>
      <c r="F64" s="75"/>
      <c r="G64" s="75"/>
      <c r="H64" s="124"/>
      <c r="I64" s="23" t="e">
        <f>I62</f>
        <v>#REF!</v>
      </c>
      <c r="J64" s="23" t="e">
        <f t="shared" ref="J64:R64" si="14">J62</f>
        <v>#REF!</v>
      </c>
      <c r="K64" s="23" t="e">
        <f t="shared" si="14"/>
        <v>#REF!</v>
      </c>
      <c r="L64" s="23" t="e">
        <f t="shared" si="14"/>
        <v>#REF!</v>
      </c>
      <c r="M64" s="23" t="e">
        <f t="shared" si="14"/>
        <v>#REF!</v>
      </c>
      <c r="N64" s="23" t="e">
        <f t="shared" si="14"/>
        <v>#REF!</v>
      </c>
      <c r="O64" s="23" t="e">
        <f t="shared" si="14"/>
        <v>#REF!</v>
      </c>
      <c r="P64" s="23" t="e">
        <f t="shared" si="14"/>
        <v>#REF!</v>
      </c>
      <c r="Q64" s="23" t="e">
        <f t="shared" si="14"/>
        <v>#REF!</v>
      </c>
      <c r="R64" s="23" t="e">
        <f t="shared" si="14"/>
        <v>#DIV/0!</v>
      </c>
      <c r="S64" s="81" t="e">
        <f>SUM(I64:M64)</f>
        <v>#REF!</v>
      </c>
    </row>
    <row r="65" spans="3:19" x14ac:dyDescent="0.25">
      <c r="C65" s="75" t="s">
        <v>24</v>
      </c>
      <c r="D65" s="75"/>
      <c r="E65" s="75"/>
      <c r="F65" s="75"/>
      <c r="G65" s="75"/>
      <c r="H65" s="124"/>
      <c r="I65" s="23">
        <f>I50</f>
        <v>6000</v>
      </c>
      <c r="J65" s="23">
        <f t="shared" ref="J65:R65" si="15">J50</f>
        <v>1</v>
      </c>
      <c r="K65" s="23">
        <f t="shared" si="15"/>
        <v>2</v>
      </c>
      <c r="L65" s="23">
        <f t="shared" si="15"/>
        <v>2</v>
      </c>
      <c r="M65" s="23">
        <f t="shared" si="15"/>
        <v>3</v>
      </c>
      <c r="N65" s="23">
        <f t="shared" si="15"/>
        <v>0</v>
      </c>
      <c r="O65" s="23">
        <f t="shared" si="15"/>
        <v>0</v>
      </c>
      <c r="P65" s="23">
        <f t="shared" si="15"/>
        <v>0</v>
      </c>
      <c r="Q65" s="23">
        <f t="shared" si="15"/>
        <v>0</v>
      </c>
      <c r="R65" s="23" t="e">
        <f t="shared" si="15"/>
        <v>#DIV/0!</v>
      </c>
      <c r="S65" s="81">
        <f>SUM(I65:M65)</f>
        <v>6008</v>
      </c>
    </row>
    <row r="66" spans="3:19" x14ac:dyDescent="0.25">
      <c r="C66" s="75" t="s">
        <v>33</v>
      </c>
      <c r="D66" s="75"/>
      <c r="E66" s="75"/>
      <c r="F66" s="75"/>
      <c r="G66" s="75"/>
      <c r="H66" s="124"/>
      <c r="I66" s="23" t="e">
        <f>I64+I65</f>
        <v>#REF!</v>
      </c>
      <c r="J66" s="23" t="e">
        <f t="shared" ref="J66:R66" si="16">J64+J65</f>
        <v>#REF!</v>
      </c>
      <c r="K66" s="23" t="e">
        <f t="shared" si="16"/>
        <v>#REF!</v>
      </c>
      <c r="L66" s="23" t="e">
        <f t="shared" si="16"/>
        <v>#REF!</v>
      </c>
      <c r="M66" s="23" t="e">
        <f t="shared" si="16"/>
        <v>#REF!</v>
      </c>
      <c r="N66" s="23" t="e">
        <f t="shared" si="16"/>
        <v>#REF!</v>
      </c>
      <c r="O66" s="23" t="e">
        <f t="shared" si="16"/>
        <v>#REF!</v>
      </c>
      <c r="P66" s="23" t="e">
        <f t="shared" si="16"/>
        <v>#REF!</v>
      </c>
      <c r="Q66" s="23" t="e">
        <f t="shared" si="16"/>
        <v>#REF!</v>
      </c>
      <c r="R66" s="23" t="e">
        <f t="shared" si="16"/>
        <v>#DIV/0!</v>
      </c>
      <c r="S66" s="81" t="e">
        <f>SUM(I66:M66)</f>
        <v>#REF!</v>
      </c>
    </row>
    <row r="68" spans="3:19" x14ac:dyDescent="0.25">
      <c r="C68" s="125" t="s">
        <v>32</v>
      </c>
      <c r="D68" s="125"/>
      <c r="E68" s="125"/>
      <c r="F68" s="125"/>
      <c r="G68" s="9"/>
      <c r="H68" s="9"/>
      <c r="I68" s="9"/>
      <c r="J68" s="10"/>
      <c r="K68" s="10"/>
      <c r="L68" s="10"/>
      <c r="M68" s="10"/>
      <c r="N68" s="10"/>
      <c r="O68" s="10"/>
      <c r="P68" s="10"/>
      <c r="Q68" s="10"/>
      <c r="R68" s="10"/>
      <c r="S68" s="98"/>
    </row>
    <row r="69" spans="3:19" x14ac:dyDescent="0.25">
      <c r="C69" s="126"/>
      <c r="D69" s="126"/>
      <c r="E69" s="126"/>
      <c r="F69" s="126"/>
      <c r="G69" s="19"/>
      <c r="H69" s="19"/>
      <c r="I69" s="86" t="s">
        <v>143</v>
      </c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3:19" x14ac:dyDescent="0.25">
      <c r="C70" s="231"/>
      <c r="D70" s="232"/>
      <c r="E70" s="20"/>
      <c r="F70" s="20"/>
      <c r="G70" s="20"/>
      <c r="H70" s="156"/>
      <c r="I70" s="20" t="s">
        <v>3</v>
      </c>
      <c r="J70" s="20" t="s">
        <v>4</v>
      </c>
      <c r="K70" s="20" t="s">
        <v>147</v>
      </c>
      <c r="L70" s="20" t="s">
        <v>151</v>
      </c>
      <c r="M70" s="20" t="s">
        <v>152</v>
      </c>
      <c r="N70" s="20" t="s">
        <v>169</v>
      </c>
      <c r="O70" s="20" t="s">
        <v>170</v>
      </c>
      <c r="P70" s="20" t="s">
        <v>171</v>
      </c>
      <c r="Q70" s="20" t="s">
        <v>172</v>
      </c>
      <c r="R70" s="20" t="s">
        <v>173</v>
      </c>
      <c r="S70" s="20" t="s">
        <v>5</v>
      </c>
    </row>
    <row r="71" spans="3:19" x14ac:dyDescent="0.25">
      <c r="C71" s="127" t="s">
        <v>19</v>
      </c>
      <c r="D71" s="128"/>
      <c r="E71" s="127"/>
      <c r="F71" s="127"/>
      <c r="G71" s="14"/>
      <c r="H71" s="17"/>
      <c r="I71" s="32">
        <f t="shared" ref="I71:R71" si="17">I37</f>
        <v>0</v>
      </c>
      <c r="J71" s="18">
        <f t="shared" si="17"/>
        <v>0</v>
      </c>
      <c r="K71" s="18">
        <f t="shared" si="17"/>
        <v>0</v>
      </c>
      <c r="L71" s="18">
        <f t="shared" si="17"/>
        <v>0</v>
      </c>
      <c r="M71" s="18">
        <f t="shared" si="17"/>
        <v>0</v>
      </c>
      <c r="N71" s="18">
        <f t="shared" si="17"/>
        <v>0</v>
      </c>
      <c r="O71" s="18">
        <f t="shared" si="17"/>
        <v>0</v>
      </c>
      <c r="P71" s="18">
        <f t="shared" si="17"/>
        <v>0</v>
      </c>
      <c r="Q71" s="18">
        <f t="shared" si="17"/>
        <v>0</v>
      </c>
      <c r="R71" s="18" t="e">
        <f t="shared" si="17"/>
        <v>#DIV/0!</v>
      </c>
      <c r="S71" s="32" t="e">
        <f t="shared" ref="S71:S77" si="18">SUM(I71:R71)</f>
        <v>#DIV/0!</v>
      </c>
    </row>
    <row r="72" spans="3:19" x14ac:dyDescent="0.25">
      <c r="C72" s="127" t="s">
        <v>23</v>
      </c>
      <c r="D72" s="128"/>
      <c r="E72" s="127"/>
      <c r="F72" s="127"/>
      <c r="G72" s="14"/>
      <c r="H72" s="17"/>
      <c r="I72" s="32">
        <f>I50-I37-I55</f>
        <v>6000</v>
      </c>
      <c r="J72" s="84">
        <f t="shared" ref="J72:R72" si="19">J50-J37-J55</f>
        <v>1</v>
      </c>
      <c r="K72" s="84">
        <f t="shared" si="19"/>
        <v>2</v>
      </c>
      <c r="L72" s="84">
        <f t="shared" si="19"/>
        <v>2</v>
      </c>
      <c r="M72" s="84">
        <f t="shared" si="19"/>
        <v>3</v>
      </c>
      <c r="N72" s="84">
        <f t="shared" si="19"/>
        <v>0</v>
      </c>
      <c r="O72" s="84">
        <f t="shared" si="19"/>
        <v>0</v>
      </c>
      <c r="P72" s="84">
        <f t="shared" si="19"/>
        <v>0</v>
      </c>
      <c r="Q72" s="84">
        <f t="shared" si="19"/>
        <v>0</v>
      </c>
      <c r="R72" s="84" t="e">
        <f t="shared" si="19"/>
        <v>#DIV/0!</v>
      </c>
      <c r="S72" s="32" t="e">
        <f t="shared" si="18"/>
        <v>#DIV/0!</v>
      </c>
    </row>
    <row r="73" spans="3:19" x14ac:dyDescent="0.25">
      <c r="C73" s="127" t="s">
        <v>20</v>
      </c>
      <c r="D73" s="128"/>
      <c r="E73" s="127"/>
      <c r="F73" s="127"/>
      <c r="G73" s="14"/>
      <c r="H73" s="17"/>
      <c r="I73" s="32">
        <f>I43</f>
        <v>0</v>
      </c>
      <c r="J73" s="84">
        <f t="shared" ref="J73:R73" si="20">J43</f>
        <v>0</v>
      </c>
      <c r="K73" s="84">
        <f t="shared" si="20"/>
        <v>0</v>
      </c>
      <c r="L73" s="84">
        <f t="shared" si="20"/>
        <v>0</v>
      </c>
      <c r="M73" s="84">
        <f t="shared" si="20"/>
        <v>0</v>
      </c>
      <c r="N73" s="84">
        <f t="shared" si="20"/>
        <v>0</v>
      </c>
      <c r="O73" s="84">
        <f t="shared" si="20"/>
        <v>0</v>
      </c>
      <c r="P73" s="84">
        <f t="shared" si="20"/>
        <v>0</v>
      </c>
      <c r="Q73" s="84">
        <f t="shared" si="20"/>
        <v>0</v>
      </c>
      <c r="R73" s="84">
        <f t="shared" si="20"/>
        <v>0</v>
      </c>
      <c r="S73" s="32">
        <f t="shared" si="18"/>
        <v>0</v>
      </c>
    </row>
    <row r="74" spans="3:19" x14ac:dyDescent="0.25">
      <c r="C74" s="127" t="s">
        <v>24</v>
      </c>
      <c r="D74" s="128"/>
      <c r="E74" s="127"/>
      <c r="F74" s="127"/>
      <c r="G74" s="14"/>
      <c r="H74" s="17"/>
      <c r="I74" s="32">
        <f>I50</f>
        <v>6000</v>
      </c>
      <c r="J74" s="84">
        <f t="shared" ref="J74:R74" si="21">J50</f>
        <v>1</v>
      </c>
      <c r="K74" s="84">
        <f t="shared" si="21"/>
        <v>2</v>
      </c>
      <c r="L74" s="84">
        <f t="shared" si="21"/>
        <v>2</v>
      </c>
      <c r="M74" s="84">
        <f t="shared" si="21"/>
        <v>3</v>
      </c>
      <c r="N74" s="84">
        <f t="shared" si="21"/>
        <v>0</v>
      </c>
      <c r="O74" s="84">
        <f t="shared" si="21"/>
        <v>0</v>
      </c>
      <c r="P74" s="84">
        <f t="shared" si="21"/>
        <v>0</v>
      </c>
      <c r="Q74" s="84">
        <f t="shared" si="21"/>
        <v>0</v>
      </c>
      <c r="R74" s="84" t="e">
        <f t="shared" si="21"/>
        <v>#DIV/0!</v>
      </c>
      <c r="S74" s="32" t="e">
        <f t="shared" si="18"/>
        <v>#DIV/0!</v>
      </c>
    </row>
    <row r="75" spans="3:19" x14ac:dyDescent="0.25">
      <c r="C75" s="127" t="s">
        <v>31</v>
      </c>
      <c r="D75" s="128"/>
      <c r="E75" s="127"/>
      <c r="F75" s="127"/>
      <c r="G75" s="14"/>
      <c r="H75" s="17"/>
      <c r="I75" s="32" t="e">
        <f>I61</f>
        <v>#REF!</v>
      </c>
      <c r="J75" s="18" t="e">
        <f t="shared" ref="J75:R76" si="22">J61</f>
        <v>#REF!</v>
      </c>
      <c r="K75" s="18" t="e">
        <f t="shared" si="22"/>
        <v>#REF!</v>
      </c>
      <c r="L75" s="18" t="e">
        <f t="shared" si="22"/>
        <v>#REF!</v>
      </c>
      <c r="M75" s="18" t="e">
        <f t="shared" si="22"/>
        <v>#REF!</v>
      </c>
      <c r="N75" s="18" t="e">
        <f t="shared" si="22"/>
        <v>#REF!</v>
      </c>
      <c r="O75" s="18" t="e">
        <f t="shared" si="22"/>
        <v>#REF!</v>
      </c>
      <c r="P75" s="18" t="e">
        <f t="shared" si="22"/>
        <v>#REF!</v>
      </c>
      <c r="Q75" s="18" t="e">
        <f t="shared" si="22"/>
        <v>#REF!</v>
      </c>
      <c r="R75" s="18" t="e">
        <f t="shared" si="22"/>
        <v>#DIV/0!</v>
      </c>
      <c r="S75" s="32" t="e">
        <f t="shared" si="18"/>
        <v>#REF!</v>
      </c>
    </row>
    <row r="76" spans="3:19" x14ac:dyDescent="0.25">
      <c r="C76" s="127" t="s">
        <v>30</v>
      </c>
      <c r="D76" s="128"/>
      <c r="E76" s="127" t="s">
        <v>27</v>
      </c>
      <c r="F76" s="127">
        <f>'Input Sheet'!$B$39</f>
        <v>0.56000000000000005</v>
      </c>
      <c r="G76" s="14"/>
      <c r="H76" s="17"/>
      <c r="I76" s="32" t="e">
        <f>I62</f>
        <v>#REF!</v>
      </c>
      <c r="J76" s="18" t="e">
        <f t="shared" si="22"/>
        <v>#REF!</v>
      </c>
      <c r="K76" s="18" t="e">
        <f t="shared" si="22"/>
        <v>#REF!</v>
      </c>
      <c r="L76" s="18" t="e">
        <f t="shared" si="22"/>
        <v>#REF!</v>
      </c>
      <c r="M76" s="18" t="e">
        <f t="shared" si="22"/>
        <v>#REF!</v>
      </c>
      <c r="N76" s="18" t="e">
        <f t="shared" si="22"/>
        <v>#REF!</v>
      </c>
      <c r="O76" s="18" t="e">
        <f t="shared" si="22"/>
        <v>#REF!</v>
      </c>
      <c r="P76" s="18" t="e">
        <f t="shared" si="22"/>
        <v>#REF!</v>
      </c>
      <c r="Q76" s="18" t="e">
        <f t="shared" si="22"/>
        <v>#REF!</v>
      </c>
      <c r="R76" s="18" t="e">
        <f t="shared" si="22"/>
        <v>#DIV/0!</v>
      </c>
      <c r="S76" s="32" t="e">
        <f t="shared" si="18"/>
        <v>#REF!</v>
      </c>
    </row>
    <row r="77" spans="3:19" x14ac:dyDescent="0.25">
      <c r="C77" s="127" t="s">
        <v>34</v>
      </c>
      <c r="D77" s="128"/>
      <c r="E77" s="127"/>
      <c r="F77" s="127"/>
      <c r="G77" s="14"/>
      <c r="H77" s="17"/>
      <c r="I77" s="32" t="e">
        <f>I66</f>
        <v>#REF!</v>
      </c>
      <c r="J77" s="84" t="e">
        <f t="shared" ref="J77:R77" si="23">J66</f>
        <v>#REF!</v>
      </c>
      <c r="K77" s="84" t="e">
        <f t="shared" si="23"/>
        <v>#REF!</v>
      </c>
      <c r="L77" s="84" t="e">
        <f t="shared" si="23"/>
        <v>#REF!</v>
      </c>
      <c r="M77" s="84" t="e">
        <f t="shared" si="23"/>
        <v>#REF!</v>
      </c>
      <c r="N77" s="84" t="e">
        <f t="shared" si="23"/>
        <v>#REF!</v>
      </c>
      <c r="O77" s="84" t="e">
        <f t="shared" si="23"/>
        <v>#REF!</v>
      </c>
      <c r="P77" s="84" t="e">
        <f t="shared" si="23"/>
        <v>#REF!</v>
      </c>
      <c r="Q77" s="84" t="e">
        <f t="shared" si="23"/>
        <v>#REF!</v>
      </c>
      <c r="R77" s="84" t="e">
        <f t="shared" si="23"/>
        <v>#DIV/0!</v>
      </c>
      <c r="S77" s="32" t="e">
        <f t="shared" si="18"/>
        <v>#REF!</v>
      </c>
    </row>
    <row r="79" spans="3:19" x14ac:dyDescent="0.25">
      <c r="P79" s="129"/>
      <c r="Q79" s="129"/>
      <c r="R79" s="129"/>
      <c r="S79" s="129"/>
    </row>
    <row r="80" spans="3:19" x14ac:dyDescent="0.25">
      <c r="P80" s="129"/>
      <c r="Q80" s="129"/>
      <c r="R80" s="129"/>
      <c r="S80" s="129"/>
    </row>
    <row r="81" spans="16:19" x14ac:dyDescent="0.25">
      <c r="P81" s="129"/>
      <c r="Q81" s="129"/>
      <c r="R81" s="129"/>
      <c r="S81" s="129"/>
    </row>
    <row r="82" spans="16:19" x14ac:dyDescent="0.25">
      <c r="P82" s="129"/>
      <c r="Q82" s="129"/>
      <c r="R82" s="129"/>
      <c r="S82" s="129"/>
    </row>
    <row r="83" spans="16:19" x14ac:dyDescent="0.25">
      <c r="P83" s="129"/>
      <c r="Q83" s="129"/>
      <c r="R83" s="129"/>
      <c r="S83" s="129"/>
    </row>
    <row r="84" spans="16:19" ht="15" customHeight="1" x14ac:dyDescent="0.25">
      <c r="P84" s="129"/>
      <c r="Q84" s="129"/>
      <c r="R84" s="129"/>
      <c r="S84" s="129"/>
    </row>
    <row r="85" spans="16:19" ht="15" customHeight="1" x14ac:dyDescent="0.25">
      <c r="P85" s="129"/>
      <c r="Q85" s="129"/>
      <c r="R85" s="129"/>
      <c r="S85" s="129"/>
    </row>
    <row r="86" spans="16:19" x14ac:dyDescent="0.25">
      <c r="P86" s="129"/>
      <c r="Q86" s="129"/>
      <c r="R86" s="129"/>
      <c r="S86" s="129"/>
    </row>
    <row r="87" spans="16:19" x14ac:dyDescent="0.25">
      <c r="P87" s="129"/>
      <c r="Q87" s="129"/>
      <c r="R87" s="129"/>
      <c r="S87" s="129"/>
    </row>
    <row r="88" spans="16:19" ht="15" customHeight="1" x14ac:dyDescent="0.25">
      <c r="P88" s="129"/>
      <c r="Q88" s="129"/>
      <c r="R88" s="129"/>
      <c r="S88" s="129"/>
    </row>
    <row r="89" spans="16:19" ht="15" customHeight="1" x14ac:dyDescent="0.25">
      <c r="P89" s="122"/>
      <c r="Q89" s="122"/>
      <c r="R89" s="122"/>
      <c r="S89" s="122"/>
    </row>
    <row r="90" spans="16:19" x14ac:dyDescent="0.25">
      <c r="P90" s="122"/>
      <c r="Q90" s="122"/>
      <c r="R90" s="122"/>
      <c r="S90" s="122"/>
    </row>
    <row r="92" spans="16:19" ht="15.75" x14ac:dyDescent="0.25">
      <c r="P92" s="123"/>
      <c r="Q92" s="123"/>
      <c r="R92" s="123"/>
      <c r="S92" s="123"/>
    </row>
    <row r="94" spans="16:19" ht="15" customHeight="1" x14ac:dyDescent="0.25"/>
    <row r="95" spans="16:19" ht="15" customHeight="1" x14ac:dyDescent="0.25"/>
    <row r="97" ht="19.5" customHeight="1" x14ac:dyDescent="0.25"/>
    <row r="98" ht="15" customHeight="1" x14ac:dyDescent="0.25"/>
    <row r="99" ht="15.75" customHeight="1" x14ac:dyDescent="0.25"/>
    <row r="125" spans="3:3" x14ac:dyDescent="0.25">
      <c r="C125" t="s">
        <v>51</v>
      </c>
    </row>
    <row r="126" spans="3:3" x14ac:dyDescent="0.25">
      <c r="C126" t="s">
        <v>7</v>
      </c>
    </row>
    <row r="127" spans="3:3" x14ac:dyDescent="0.25">
      <c r="C127" t="s">
        <v>8</v>
      </c>
    </row>
    <row r="128" spans="3:3" x14ac:dyDescent="0.25">
      <c r="C128" t="s">
        <v>101</v>
      </c>
    </row>
    <row r="129" spans="3:3" x14ac:dyDescent="0.25">
      <c r="C129" t="s">
        <v>102</v>
      </c>
    </row>
    <row r="130" spans="3:3" x14ac:dyDescent="0.25">
      <c r="C130" t="s">
        <v>17</v>
      </c>
    </row>
    <row r="131" spans="3:3" x14ac:dyDescent="0.25">
      <c r="C131" t="s">
        <v>15</v>
      </c>
    </row>
    <row r="132" spans="3:3" x14ac:dyDescent="0.25">
      <c r="C132" t="s">
        <v>153</v>
      </c>
    </row>
    <row r="133" spans="3:3" x14ac:dyDescent="0.25">
      <c r="C133" t="s">
        <v>154</v>
      </c>
    </row>
    <row r="134" spans="3:3" x14ac:dyDescent="0.25">
      <c r="C134" t="s">
        <v>155</v>
      </c>
    </row>
  </sheetData>
  <mergeCells count="7">
    <mergeCell ref="C70:D70"/>
    <mergeCell ref="C28:D28"/>
    <mergeCell ref="C37:D37"/>
    <mergeCell ref="C42:D42"/>
    <mergeCell ref="C44:D44"/>
    <mergeCell ref="C50:D50"/>
    <mergeCell ref="C54:D54"/>
  </mergeCells>
  <conditionalFormatting sqref="AB8 AB13">
    <cfRule type="expression" dxfId="8" priority="12">
      <formula>VALUE($AB$9)&gt;0</formula>
    </cfRule>
  </conditionalFormatting>
  <conditionalFormatting sqref="C8 C13">
    <cfRule type="expression" dxfId="7" priority="11">
      <formula>VALUE($C$9)&gt;0</formula>
    </cfRule>
  </conditionalFormatting>
  <conditionalFormatting sqref="D13 D8">
    <cfRule type="expression" dxfId="6" priority="8" stopIfTrue="1">
      <formula>VALUE($C$9)&gt;0</formula>
    </cfRule>
    <cfRule type="expression" dxfId="5" priority="9" stopIfTrue="1">
      <formula>VALUE($AB$9)&gt;0</formula>
    </cfRule>
    <cfRule type="dataBar" priority="10">
      <dataBar showValue="0">
        <cfvo type="num" val="$C$8"/>
        <cfvo type="num" val="$AB$8"/>
        <color rgb="FF63C384"/>
      </dataBar>
    </cfRule>
  </conditionalFormatting>
  <conditionalFormatting sqref="D8:X8 D13:X13">
    <cfRule type="expression" dxfId="4" priority="5" stopIfTrue="1">
      <formula>VALUE($C$9)&gt;0</formula>
    </cfRule>
    <cfRule type="expression" dxfId="3" priority="6" stopIfTrue="1">
      <formula>VALUE(#REF!)&gt;0</formula>
    </cfRule>
    <cfRule type="dataBar" priority="7">
      <dataBar showValue="0">
        <cfvo type="num" val="$C$8"/>
        <cfvo type="num" val="#REF!"/>
        <color rgb="FF63C384"/>
      </dataBar>
    </cfRule>
  </conditionalFormatting>
  <conditionalFormatting sqref="W8 W13">
    <cfRule type="expression" dxfId="2" priority="4">
      <formula>VALUE($W$9)&gt;0</formula>
    </cfRule>
  </conditionalFormatting>
  <conditionalFormatting sqref="D13 D8">
    <cfRule type="expression" dxfId="1" priority="1" stopIfTrue="1">
      <formula>VALUE($C$9)&gt;0</formula>
    </cfRule>
    <cfRule type="expression" dxfId="0" priority="2" stopIfTrue="1">
      <formula>VALUE($W$9)&gt;0</formula>
    </cfRule>
    <cfRule type="dataBar" priority="3">
      <dataBar showValue="0">
        <cfvo type="num" val="$C$8"/>
        <cfvo type="num" val="$W$8"/>
        <color rgb="FF63C384"/>
      </dataBar>
    </cfRule>
  </conditionalFormatting>
  <dataValidations disablePrompts="1" count="1">
    <dataValidation type="list" allowBlank="1" sqref="C28:D28" xr:uid="{00000000-0002-0000-0500-000000000000}">
      <formula1>$C$125:$C$134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UpdateCompensation">
                <anchor moveWithCells="1" sizeWithCells="1">
                  <from>
                    <xdr:col>2</xdr:col>
                    <xdr:colOff>0</xdr:colOff>
                    <xdr:row>15</xdr:row>
                    <xdr:rowOff>9525</xdr:rowOff>
                  </from>
                  <to>
                    <xdr:col>3</xdr:col>
                    <xdr:colOff>561975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MakePrintSheet.MakePrintSheet">
                <anchor moveWithCells="1" sizeWithCells="1">
                  <from>
                    <xdr:col>3</xdr:col>
                    <xdr:colOff>762000</xdr:colOff>
                    <xdr:row>15</xdr:row>
                    <xdr:rowOff>9525</xdr:rowOff>
                  </from>
                  <to>
                    <xdr:col>5</xdr:col>
                    <xdr:colOff>752475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Y127"/>
  <sheetViews>
    <sheetView topLeftCell="U1" workbookViewId="0">
      <selection activeCell="AD5" sqref="AD5"/>
    </sheetView>
  </sheetViews>
  <sheetFormatPr defaultColWidth="8.85546875" defaultRowHeight="15" x14ac:dyDescent="0.25"/>
  <cols>
    <col min="1" max="1" width="8.42578125" style="22" bestFit="1" customWidth="1"/>
    <col min="2" max="2" width="9.7109375" bestFit="1" customWidth="1"/>
    <col min="3" max="3" width="9.7109375" customWidth="1"/>
    <col min="4" max="4" width="10.28515625" bestFit="1" customWidth="1"/>
    <col min="5" max="5" width="11" bestFit="1" customWidth="1"/>
    <col min="6" max="6" width="14.140625" bestFit="1" customWidth="1"/>
    <col min="7" max="7" width="11.7109375" bestFit="1" customWidth="1"/>
    <col min="8" max="8" width="16" bestFit="1" customWidth="1"/>
    <col min="9" max="9" width="10.42578125" bestFit="1" customWidth="1"/>
    <col min="10" max="10" width="7.7109375" bestFit="1" customWidth="1"/>
    <col min="11" max="17" width="7.7109375" customWidth="1"/>
    <col min="18" max="18" width="9.7109375" bestFit="1" customWidth="1"/>
    <col min="19" max="19" width="19.28515625" bestFit="1" customWidth="1"/>
    <col min="20" max="21" width="10.42578125" bestFit="1" customWidth="1"/>
    <col min="22" max="22" width="11.42578125" bestFit="1" customWidth="1"/>
    <col min="23" max="24" width="10.42578125" bestFit="1" customWidth="1"/>
    <col min="25" max="25" width="11.28515625" bestFit="1" customWidth="1"/>
    <col min="27" max="27" width="13.140625" customWidth="1"/>
    <col min="28" max="28" width="11.7109375" bestFit="1" customWidth="1"/>
    <col min="29" max="29" width="16" bestFit="1" customWidth="1"/>
    <col min="30" max="30" width="10.42578125" bestFit="1" customWidth="1"/>
    <col min="32" max="32" width="21.42578125" bestFit="1" customWidth="1"/>
    <col min="33" max="35" width="10.140625" bestFit="1" customWidth="1"/>
  </cols>
  <sheetData>
    <row r="1" spans="1:51" x14ac:dyDescent="0.25">
      <c r="T1" s="21" t="s">
        <v>91</v>
      </c>
      <c r="U1" s="21" t="s">
        <v>92</v>
      </c>
      <c r="V1" s="21" t="s">
        <v>93</v>
      </c>
      <c r="Y1" s="21"/>
      <c r="Z1" s="21" t="s">
        <v>91</v>
      </c>
      <c r="AA1" s="21" t="s">
        <v>92</v>
      </c>
      <c r="AB1" s="21" t="s">
        <v>93</v>
      </c>
      <c r="AE1" s="21" t="s">
        <v>90</v>
      </c>
      <c r="AF1" s="21" t="s">
        <v>91</v>
      </c>
      <c r="AG1" s="21" t="s">
        <v>92</v>
      </c>
    </row>
    <row r="2" spans="1:51" x14ac:dyDescent="0.25">
      <c r="A2" s="22" t="s">
        <v>56</v>
      </c>
      <c r="B2">
        <f>'Input Sheet'!F5</f>
        <v>0</v>
      </c>
      <c r="D2" t="s">
        <v>57</v>
      </c>
      <c r="E2">
        <f>'Input Sheet'!B5</f>
        <v>5</v>
      </c>
      <c r="G2" t="s">
        <v>56</v>
      </c>
      <c r="H2">
        <f>(E2*12)+B2</f>
        <v>60</v>
      </c>
      <c r="R2" s="26" t="s">
        <v>89</v>
      </c>
      <c r="S2" s="22" t="s">
        <v>13</v>
      </c>
      <c r="T2" s="5">
        <v>0.17</v>
      </c>
      <c r="U2" s="5">
        <v>0.17100000000000001</v>
      </c>
      <c r="V2" s="5">
        <v>0.17100000000000001</v>
      </c>
      <c r="W2" s="22" t="s">
        <v>144</v>
      </c>
      <c r="Y2" s="6"/>
      <c r="Z2" s="6">
        <v>0.18</v>
      </c>
      <c r="AA2" s="6">
        <v>0.17799999999999999</v>
      </c>
      <c r="AB2" s="6">
        <v>0.17799999999999999</v>
      </c>
      <c r="AC2" s="22" t="s">
        <v>145</v>
      </c>
      <c r="AE2" s="6">
        <v>0</v>
      </c>
      <c r="AF2" s="6">
        <v>0</v>
      </c>
      <c r="AG2" s="6">
        <v>0</v>
      </c>
    </row>
    <row r="3" spans="1:51" x14ac:dyDescent="0.25">
      <c r="A3" s="22" t="s">
        <v>58</v>
      </c>
      <c r="B3" s="4">
        <f>'Input Sheet'!B6</f>
        <v>0</v>
      </c>
      <c r="C3" s="4"/>
      <c r="D3" t="s">
        <v>59</v>
      </c>
      <c r="E3" s="4">
        <f>DATE(YEAR(B3)+E2,MONTH(B3)+B2,DAY(B3)-1)</f>
        <v>1826</v>
      </c>
      <c r="S3" s="22" t="s">
        <v>14</v>
      </c>
      <c r="T3" s="6">
        <v>0.255</v>
      </c>
      <c r="U3" s="6">
        <v>0.27700000000000002</v>
      </c>
      <c r="V3" s="6">
        <v>0.27700000000000002</v>
      </c>
      <c r="W3" s="22" t="s">
        <v>97</v>
      </c>
      <c r="Y3" s="6"/>
      <c r="Z3" s="6">
        <v>0.08</v>
      </c>
      <c r="AA3" s="6">
        <v>8.3000000000000004E-2</v>
      </c>
      <c r="AB3" s="6">
        <v>8.3000000000000004E-2</v>
      </c>
    </row>
    <row r="5" spans="1:51" x14ac:dyDescent="0.25">
      <c r="A5" s="21" t="s">
        <v>66</v>
      </c>
      <c r="B5" s="21" t="s">
        <v>65</v>
      </c>
      <c r="C5" s="21" t="s">
        <v>113</v>
      </c>
      <c r="D5" s="21" t="s">
        <v>63</v>
      </c>
      <c r="E5" s="21" t="s">
        <v>109</v>
      </c>
      <c r="F5" s="21" t="s">
        <v>64</v>
      </c>
      <c r="G5" s="21" t="s">
        <v>67</v>
      </c>
      <c r="H5" s="21" t="s">
        <v>1</v>
      </c>
      <c r="I5" s="21" t="s">
        <v>68</v>
      </c>
      <c r="J5" s="21" t="s">
        <v>166</v>
      </c>
      <c r="K5" s="21" t="s">
        <v>95</v>
      </c>
      <c r="L5" s="21" t="s">
        <v>99</v>
      </c>
      <c r="M5" s="21" t="s">
        <v>108</v>
      </c>
      <c r="N5" s="21" t="s">
        <v>157</v>
      </c>
      <c r="O5" s="21" t="s">
        <v>107</v>
      </c>
      <c r="P5" s="21" t="s">
        <v>96</v>
      </c>
      <c r="Q5" s="21" t="s">
        <v>100</v>
      </c>
      <c r="S5" s="21"/>
      <c r="T5" s="21" t="str">
        <f>IF($H$2&gt;0,"Year 1","")</f>
        <v>Year 1</v>
      </c>
      <c r="U5" s="21" t="str">
        <f>IF($H$2&gt;12,"Year 2","")</f>
        <v>Year 2</v>
      </c>
      <c r="V5" s="21" t="str">
        <f>IF($H$2&gt;24,"Year 3","")</f>
        <v>Year 3</v>
      </c>
      <c r="W5" s="21" t="str">
        <f>IF($H$2&gt;36,"Year 4","")</f>
        <v>Year 4</v>
      </c>
      <c r="X5" s="21" t="str">
        <f>IF($H$2&gt;48,"Year 5","")</f>
        <v>Year 5</v>
      </c>
      <c r="Y5" s="24" t="s">
        <v>5</v>
      </c>
      <c r="AA5" s="24" t="s">
        <v>78</v>
      </c>
      <c r="AB5" s="21" t="s">
        <v>0</v>
      </c>
      <c r="AC5" s="21" t="s">
        <v>1</v>
      </c>
      <c r="AD5" s="21" t="s">
        <v>68</v>
      </c>
      <c r="AG5" t="s">
        <v>90</v>
      </c>
      <c r="AH5" t="s">
        <v>91</v>
      </c>
      <c r="AI5" t="s">
        <v>92</v>
      </c>
      <c r="AJ5" t="s">
        <v>93</v>
      </c>
    </row>
    <row r="6" spans="1:51" x14ac:dyDescent="0.25">
      <c r="A6" s="22">
        <v>1</v>
      </c>
      <c r="B6" s="4">
        <f>IF($H$2&gt;=A6,B3,"")</f>
        <v>0</v>
      </c>
      <c r="C6" s="4" t="str">
        <f t="shared" ref="C6:C70" si="0">IF(ISERROR(AND(MONTH(B6)&gt;5,MONTH(B6)&lt;9)),"",IF(AND(MONTH(B6)&gt;5,MONTH(B6)&lt;9),"Summer","Academic"))</f>
        <v>Academic</v>
      </c>
      <c r="D6" t="str">
        <f>IF(ISERROR(IF(MONTH(B6)&lt;7,"FY "&amp;YEAR(B6),IF(MONTH(B6)&gt;=7,"FY "&amp;YEAR(B6)+1,""))),"",IF(MONTH(B6)&lt;7,"FY "&amp;YEAR(B6),IF(MONTH(B6)&gt;=7,"FY "&amp;YEAR(B6)+1,"")))</f>
        <v>FY 1900</v>
      </c>
      <c r="E6" t="e">
        <f>IF(OR(D6=#REF!,D6=$T$1,D6=$U$1),D6,IF(RIGHT(D6,4)&gt;RIGHT($U$1,4),$U$1,IF(D6="","",#REF!)))</f>
        <v>#REF!</v>
      </c>
      <c r="F6" t="str">
        <f>IF(ISERROR(IF(OR(MONTH(B6)&lt;6,MONTH(B6)&gt;8),IF(MONTH(B6)&lt;6,"AY "&amp;YEAR(B6)-1&amp;"-"&amp;YEAR(B6),"AY "&amp;YEAR(B6)&amp;"-"&amp;YEAR(B6)+1),"SU "&amp;YEAR(B6)-1&amp;"-"&amp;YEAR(B6))),"",IF(OR(MONTH(B6)&lt;6,MONTH(B6)&gt;8),IF(MONTH(B6)&lt;6,"AY "&amp;YEAR(B6)-1&amp;"-"&amp;YEAR(B6),"AY "&amp;YEAR(B6)&amp;"-"&amp;YEAR(B6)+1),"SU "&amp;YEAR(B6)-1&amp;"-"&amp;YEAR(B6)))</f>
        <v>AY 1899-1900</v>
      </c>
      <c r="G6" s="2" t="str">
        <f t="shared" ref="G6:I25" si="1">IF(ISERROR(INDEX($AB$17:$AD$34, MATCH($F6,$AA$17:$AA$34,0), MATCH(G$5,$AB$16:$AD$16,0))),"",INDEX($AB$17:$AD$34, MATCH($F6,$AA$17:$AA$34,0), MATCH(G$5,$AB$16:$AD$16,0)))</f>
        <v/>
      </c>
      <c r="H6" s="2" t="str">
        <f t="shared" si="1"/>
        <v/>
      </c>
      <c r="I6" s="2" t="str">
        <f t="shared" si="1"/>
        <v/>
      </c>
      <c r="J6" s="2" t="str">
        <f>IF(AND(A6&lt;=12,NOT(B6="")),"Year 1",IF(AND(A6&lt;=24,A6&gt;12,NOT(B6="")),"Year 2",IF(AND(A6&lt;=36,A6&gt;24,NOT(B6="")),"Year 3",IF(AND(A6&lt;=48,A6&gt;36,NOT(B6="")),"Year 4",IF(AND(A6&lt;=60,A6&gt;48,NOT(B6="")),"Year 5",IF(AND(A6&lt;=72,A6&gt;60,NOT(B6="")),"Year 6",IF(AND(A6&lt;=84,A6&gt;72,NOT(B6="")),"Year 7",IF(AND(A6&lt;=96,A6&gt;84,NOT(B6="")),"Year 8",IF(AND(A6&lt;=108,A6&gt;96,NOT(B6="")),"Year 9",IF(AND(A6&lt;=120,A6&gt;108,NOT(B6="")),"Year 10",""))))))))))</f>
        <v>Year 1</v>
      </c>
      <c r="K6" s="5" t="str">
        <f t="shared" ref="K6:Q15" si="2">IF(ISERROR(IF(RIGHT($E6,4)&gt;RIGHT($U$1,4),INDEX($V$43:$X$55,MATCH(K$5,$T$43:$T$55,0),MATCH($U$1,$V$42:$X$42,0)),INDEX($V$43:$X$55,MATCH(K$5,$T$43:$T$55,0),MATCH($E6,$V$42:$X$42,0)))),"",
IF(OR(K$5="FTS",K$5="PTU",K$5="PTS",K$5="PTG"),
IF($C6="Summer",
IF(RIGHT($E6,4)&gt;RIGHT($U$1,4),INDEX($V$43:$X$55,MATCH(K$5,$T$43:$T$55,0),MATCH($U$1,$V$42:$X$42,0)),INDEX($V$43:$X$55,MATCH(K$5,$T$43:$T$55,0),MATCH($E6,$V$42:$X$42,0))),0),IF(RIGHT($E6,4)&gt;RIGHT($U$1,4),INDEX($V$43:$X$55,MATCH(K$5,$T$43:$T$55,0),MATCH($U$1,$V$42:$X$42,0)),INDEX($V$43:$X$55,MATCH(K$5,$T$43:$T$55,0),MATCH($E6,$V$42:$X$42,0)))))</f>
        <v/>
      </c>
      <c r="L6" s="5" t="str">
        <f t="shared" si="2"/>
        <v/>
      </c>
      <c r="M6" s="5" t="str">
        <f t="shared" si="2"/>
        <v/>
      </c>
      <c r="N6" s="5" t="str">
        <f t="shared" si="2"/>
        <v/>
      </c>
      <c r="O6" s="5" t="str">
        <f t="shared" si="2"/>
        <v/>
      </c>
      <c r="P6" s="5" t="str">
        <f t="shared" si="2"/>
        <v/>
      </c>
      <c r="Q6" s="5" t="str">
        <f t="shared" si="2"/>
        <v/>
      </c>
      <c r="S6" t="s">
        <v>0</v>
      </c>
      <c r="T6" s="2">
        <f>SUMIFS($G$6:$G$125,$A$6:$A$125,"&lt;=12",$A$6:$A$125,"&gt;0")</f>
        <v>0</v>
      </c>
      <c r="U6" s="2">
        <f>SUMIFS($G$6:$G$125,$A$6:$A$125,"&gt;12",$A$6:$A$125,"&lt;=24")</f>
        <v>0</v>
      </c>
      <c r="V6" s="2">
        <f>SUMIFS($G$6:$G$125,$A$6:$A$125,"&gt;24",$A$6:$A$125,"&lt;=36")</f>
        <v>0</v>
      </c>
      <c r="W6" s="2">
        <f>SUMIFS($G$6:$G$125,$A$6:$A$125,"&gt;36",$A$6:$A$125,"&lt;=48")</f>
        <v>0</v>
      </c>
      <c r="X6" s="2">
        <f>SUMIFS($G$6:$G$125,$A$6:$A$125,"&gt;48",$A$6:$A$125,"&lt;=60")</f>
        <v>0</v>
      </c>
      <c r="Y6" s="2">
        <f>SUM(T6:X6)</f>
        <v>0</v>
      </c>
      <c r="AA6" t="s">
        <v>69</v>
      </c>
      <c r="AB6" s="2">
        <v>3708.6</v>
      </c>
      <c r="AC6" s="2">
        <v>1723</v>
      </c>
      <c r="AD6" s="2">
        <v>668</v>
      </c>
      <c r="AF6" s="22" t="s">
        <v>13</v>
      </c>
      <c r="AG6" s="5">
        <v>0.17</v>
      </c>
      <c r="AH6" s="5">
        <f>$T2</f>
        <v>0.17</v>
      </c>
      <c r="AI6" s="5">
        <f>U2</f>
        <v>0.17100000000000001</v>
      </c>
      <c r="AJ6" s="5">
        <f>AI6</f>
        <v>0.17100000000000001</v>
      </c>
    </row>
    <row r="7" spans="1:51" x14ac:dyDescent="0.25">
      <c r="A7" s="22">
        <v>2</v>
      </c>
      <c r="B7" s="4">
        <f t="shared" ref="B7:B70" si="3">IF($H$2&gt;=A7,DATE(YEAR(B6),MONTH(B6)+1,DAY(B6)),"")</f>
        <v>31</v>
      </c>
      <c r="C7" s="4" t="str">
        <f t="shared" si="0"/>
        <v>Academic</v>
      </c>
      <c r="D7" t="str">
        <f t="shared" ref="D7:D70" si="4">IF(ISERROR(IF(MONTH(B7)&lt;7,"FY "&amp;YEAR(B7),IF(MONTH(B7)&gt;=7,"FY "&amp;YEAR(B7)+1,""))),"",IF(MONTH(B7)&lt;7,"FY "&amp;YEAR(B7),IF(MONTH(B7)&gt;=7,"FY "&amp;YEAR(B7)+1,"")))</f>
        <v>FY 1900</v>
      </c>
      <c r="E7" t="e">
        <f>IF(OR(D7=#REF!,D7=$T$1,D7=$U$1),D7,IF(RIGHT(D7,4)&gt;RIGHT($U$1,4),$U$1,IF(D7="","",#REF!)))</f>
        <v>#REF!</v>
      </c>
      <c r="F7" t="str">
        <f>IF(ISERROR(IF(OR(MONTH(B7)&lt;6,MONTH(B7)&gt;8),IF(MONTH(B7)&lt;6,"AY "&amp;YEAR(B7)-1&amp;"-"&amp;YEAR(B7),"AY "&amp;YEAR(B7)&amp;"-"&amp;YEAR(B7)+1),"SU "&amp;YEAR(B7)-1&amp;"-"&amp;YEAR(B7))),"",IF(OR(MONTH(B7)&lt;6,MONTH(B7)&gt;8),IF(MONTH(B7)&lt;6,"AY "&amp;YEAR(B7)-1&amp;"-"&amp;YEAR(B7),"AY "&amp;YEAR(B7)&amp;"-"&amp;YEAR(B7)+1),"SU "&amp;YEAR(B7)-1&amp;"-"&amp;YEAR(B7)))</f>
        <v>AY 1899-1900</v>
      </c>
      <c r="G7" s="2" t="str">
        <f t="shared" si="1"/>
        <v/>
      </c>
      <c r="H7" s="2" t="str">
        <f t="shared" si="1"/>
        <v/>
      </c>
      <c r="I7" s="2" t="str">
        <f t="shared" si="1"/>
        <v/>
      </c>
      <c r="J7" s="2" t="str">
        <f t="shared" ref="J7:J70" si="5">IF(AND(A7&lt;=12,NOT(B7="")),"Year 1",IF(AND(A7&lt;=24,A7&gt;12,NOT(B7="")),"Year 2",IF(AND(A7&lt;=36,A7&gt;24,NOT(B7="")),"Year 3",IF(AND(A7&lt;=48,A7&gt;36,NOT(B7="")),"Year 4",IF(AND(A7&lt;=60,A7&gt;48,NOT(B7="")),"Year 5",IF(AND(A7&lt;=72,A7&gt;60,NOT(B7="")),"Year 6",IF(AND(A7&lt;=84,A7&gt;72,NOT(B7="")),"Year 7",IF(AND(A7&lt;=96,A7&gt;84,NOT(B7="")),"Year 8",IF(AND(A7&lt;=108,A7&gt;96,NOT(B7="")),"Year 9",IF(AND(A7&lt;=120,A7&gt;108,NOT(B7="")),"Year 10",""))))))))))</f>
        <v>Year 1</v>
      </c>
      <c r="K7" s="5" t="str">
        <f t="shared" si="2"/>
        <v/>
      </c>
      <c r="L7" s="5" t="str">
        <f t="shared" si="2"/>
        <v/>
      </c>
      <c r="M7" s="5" t="str">
        <f t="shared" si="2"/>
        <v/>
      </c>
      <c r="N7" s="5" t="str">
        <f t="shared" si="2"/>
        <v/>
      </c>
      <c r="O7" s="5" t="str">
        <f t="shared" si="2"/>
        <v/>
      </c>
      <c r="P7" s="5" t="str">
        <f t="shared" si="2"/>
        <v/>
      </c>
      <c r="Q7" s="5" t="str">
        <f t="shared" si="2"/>
        <v/>
      </c>
      <c r="S7" t="s">
        <v>1</v>
      </c>
      <c r="T7" s="2">
        <f>SUMIFS($H$6:$H$125,$A$6:$A$125,"&lt;=12",$A$6:$A$125,"&gt;0")</f>
        <v>0</v>
      </c>
      <c r="U7" s="2">
        <f>SUMIFS($H$6:$H$125,$A$6:$A$125,"&gt;12",$A$6:$A$125,"&lt;=24")</f>
        <v>0</v>
      </c>
      <c r="V7" s="2">
        <f>SUMIFS($H$6:$H$125,$A$6:$A$125,"&gt;24",$A$6:$A$125,"&lt;=36")</f>
        <v>0</v>
      </c>
      <c r="W7" s="2">
        <f>SUMIFS($H$6:$H$125,$A$6:$A$125,"&gt;36",$A$6:$A$125,"&lt;=48")</f>
        <v>0</v>
      </c>
      <c r="X7" s="2">
        <f>SUMIFS($H$6:$H$125,$A$6:$A$125,"&gt;48",$A$6:$A$125,"&lt;=60")</f>
        <v>0</v>
      </c>
      <c r="Y7" s="2">
        <f>SUM(T7:X7)</f>
        <v>0</v>
      </c>
      <c r="AA7" t="s">
        <v>70</v>
      </c>
      <c r="AB7" s="2">
        <f>25714*0.15</f>
        <v>3857.1</v>
      </c>
      <c r="AC7" s="2">
        <v>1878</v>
      </c>
      <c r="AD7" s="2">
        <v>690</v>
      </c>
      <c r="AF7" s="22" t="s">
        <v>14</v>
      </c>
      <c r="AG7" s="6">
        <v>0.28000000000000003</v>
      </c>
      <c r="AH7" s="5">
        <f>T3</f>
        <v>0.255</v>
      </c>
      <c r="AI7" s="5">
        <f>U3</f>
        <v>0.27700000000000002</v>
      </c>
      <c r="AJ7" s="5">
        <f t="shared" ref="AJ7:AJ9" si="6">AI7</f>
        <v>0.27700000000000002</v>
      </c>
    </row>
    <row r="8" spans="1:51" x14ac:dyDescent="0.25">
      <c r="A8" s="22">
        <v>3</v>
      </c>
      <c r="B8" s="4">
        <f t="shared" si="3"/>
        <v>62</v>
      </c>
      <c r="C8" s="4" t="str">
        <f t="shared" si="0"/>
        <v>Academic</v>
      </c>
      <c r="D8" t="str">
        <f t="shared" si="4"/>
        <v>FY 1900</v>
      </c>
      <c r="E8" t="e">
        <f>IF(OR(D8=#REF!,D8=$T$1,D8=$U$1),D8,IF(RIGHT(D8,4)&gt;RIGHT($U$1,4),$U$1,IF(D8="","",#REF!)))</f>
        <v>#REF!</v>
      </c>
      <c r="F8" t="str">
        <f>IF(ISERROR(IF(OR(MONTH(B8)&lt;6,MONTH(B8)&gt;8),IF(MONTH(B8)&lt;6,"AY "&amp;YEAR(B8)-1&amp;"-"&amp;YEAR(B8),"AY "&amp;YEAR(B8)&amp;"-"&amp;YEAR(B8)+1),"SU "&amp;YEAR(B8)-1&amp;"-"&amp;YEAR(B8))),"",IF(OR(MONTH(B8)&lt;6,MONTH(B8)&gt;8),IF(MONTH(B8)&lt;6,"AY "&amp;YEAR(B8)-1&amp;"-"&amp;YEAR(B8),"AY "&amp;YEAR(B8)&amp;"-"&amp;YEAR(B8)+1),"SU "&amp;YEAR(B8)-1&amp;"-"&amp;YEAR(B8)))</f>
        <v>AY 1899-1900</v>
      </c>
      <c r="G8" s="2" t="str">
        <f t="shared" si="1"/>
        <v/>
      </c>
      <c r="H8" s="2" t="str">
        <f t="shared" si="1"/>
        <v/>
      </c>
      <c r="I8" s="2" t="str">
        <f t="shared" si="1"/>
        <v/>
      </c>
      <c r="J8" s="2" t="str">
        <f t="shared" si="5"/>
        <v>Year 1</v>
      </c>
      <c r="K8" s="5" t="str">
        <f t="shared" si="2"/>
        <v/>
      </c>
      <c r="L8" s="5" t="str">
        <f t="shared" si="2"/>
        <v/>
      </c>
      <c r="M8" s="5" t="str">
        <f t="shared" si="2"/>
        <v/>
      </c>
      <c r="N8" s="5" t="str">
        <f t="shared" si="2"/>
        <v/>
      </c>
      <c r="O8" s="5" t="str">
        <f t="shared" si="2"/>
        <v/>
      </c>
      <c r="P8" s="5" t="str">
        <f t="shared" si="2"/>
        <v/>
      </c>
      <c r="Q8" s="5" t="str">
        <f t="shared" si="2"/>
        <v/>
      </c>
      <c r="S8" t="s">
        <v>2</v>
      </c>
      <c r="T8" s="2">
        <f>SUMIFS($I$6:$I$125,$A$6:$A$125,"&lt;=12",$A$6:$A$125,"&gt;0")</f>
        <v>0</v>
      </c>
      <c r="U8" s="2">
        <f>SUMIFS($I$6:$I$125,$A$6:$A$125,"&gt;12",$A$6:$A$125,"&lt;=24")</f>
        <v>0</v>
      </c>
      <c r="V8" s="2">
        <f>SUMIFS($I$6:$I$125,$A$6:$A$125,"&gt;24",$A$6:$A$125,"&lt;=36")</f>
        <v>0</v>
      </c>
      <c r="W8" s="2">
        <f>SUMIFS($I$6:$I$125,$A$6:$A$125,"&gt;36",$A$6:$A$125,"&lt;=48")</f>
        <v>0</v>
      </c>
      <c r="X8" s="2">
        <f>SUMIFS($I$6:$I$125,$A$6:$A$125,"&gt;48",$A$6:$A$125,"&lt;=60")</f>
        <v>0</v>
      </c>
      <c r="Y8" s="2">
        <f>SUM(T8:X8)</f>
        <v>0</v>
      </c>
      <c r="AA8" t="s">
        <v>71</v>
      </c>
      <c r="AB8" s="2">
        <f>26728*0.15</f>
        <v>4009.2</v>
      </c>
      <c r="AC8" s="2">
        <v>2037</v>
      </c>
      <c r="AD8" s="2">
        <v>710</v>
      </c>
      <c r="AF8" s="22" t="s">
        <v>155</v>
      </c>
      <c r="AG8" s="6">
        <v>0.17</v>
      </c>
      <c r="AH8" s="6">
        <f>$Z2</f>
        <v>0.18</v>
      </c>
      <c r="AI8" s="6">
        <f>AA2</f>
        <v>0.17799999999999999</v>
      </c>
      <c r="AJ8" s="5">
        <f t="shared" si="6"/>
        <v>0.17799999999999999</v>
      </c>
    </row>
    <row r="9" spans="1:51" x14ac:dyDescent="0.25">
      <c r="A9" s="22">
        <v>4</v>
      </c>
      <c r="B9" s="4">
        <f t="shared" si="3"/>
        <v>93</v>
      </c>
      <c r="C9" s="4" t="str">
        <f t="shared" si="0"/>
        <v>Academic</v>
      </c>
      <c r="D9" t="str">
        <f t="shared" si="4"/>
        <v>FY 1900</v>
      </c>
      <c r="E9" t="e">
        <f>IF(OR(D9=#REF!,D9=$T$1,D9=$U$1),D9,IF(RIGHT(D9,4)&gt;RIGHT($U$1,4),$U$1,IF(D9="","",#REF!)))</f>
        <v>#REF!</v>
      </c>
      <c r="F9" t="str">
        <f t="shared" ref="F9:F72" si="7">IF(ISERROR(IF(OR(MONTH(B9)&lt;6,MONTH(B9)&gt;8),IF(MONTH(B9)&lt;6,"AY "&amp;YEAR(B9)-1&amp;"-"&amp;YEAR(B9),"AY "&amp;YEAR(B9)&amp;"-"&amp;YEAR(B9)+1),"SU "&amp;YEAR(B9)-1&amp;"-"&amp;YEAR(B9))),"",IF(OR(MONTH(B9)&lt;6,MONTH(B9)&gt;8),IF(MONTH(B9)&lt;6,"AY "&amp;YEAR(B9)-1&amp;"-"&amp;YEAR(B9),"AY "&amp;YEAR(B9)&amp;"-"&amp;YEAR(B9)+1),"SU "&amp;YEAR(B9)-1&amp;"-"&amp;YEAR(B9)))</f>
        <v>AY 1899-1900</v>
      </c>
      <c r="G9" s="2" t="str">
        <f t="shared" si="1"/>
        <v/>
      </c>
      <c r="H9" s="2" t="str">
        <f t="shared" si="1"/>
        <v/>
      </c>
      <c r="I9" s="2" t="str">
        <f t="shared" si="1"/>
        <v/>
      </c>
      <c r="J9" s="2" t="str">
        <f t="shared" si="5"/>
        <v>Year 1</v>
      </c>
      <c r="K9" s="5" t="str">
        <f t="shared" si="2"/>
        <v/>
      </c>
      <c r="L9" s="5" t="str">
        <f t="shared" si="2"/>
        <v/>
      </c>
      <c r="M9" s="5" t="str">
        <f t="shared" si="2"/>
        <v/>
      </c>
      <c r="N9" s="5" t="str">
        <f t="shared" si="2"/>
        <v/>
      </c>
      <c r="O9" s="5" t="str">
        <f t="shared" si="2"/>
        <v/>
      </c>
      <c r="P9" s="5" t="str">
        <f t="shared" si="2"/>
        <v/>
      </c>
      <c r="Q9" s="5" t="str">
        <f t="shared" si="2"/>
        <v/>
      </c>
      <c r="AA9" t="s">
        <v>72</v>
      </c>
      <c r="AB9" s="2">
        <f t="shared" ref="AB9:AD14" si="8">AB8*1.04</f>
        <v>4169.5680000000002</v>
      </c>
      <c r="AC9" s="2">
        <f t="shared" si="8"/>
        <v>2118.48</v>
      </c>
      <c r="AD9" s="2">
        <f t="shared" si="8"/>
        <v>738.4</v>
      </c>
      <c r="AF9" s="22" t="s">
        <v>97</v>
      </c>
      <c r="AG9" s="6">
        <v>0.09</v>
      </c>
      <c r="AH9" s="6">
        <f>Z3</f>
        <v>0.08</v>
      </c>
      <c r="AI9" s="6">
        <f>AA3</f>
        <v>8.3000000000000004E-2</v>
      </c>
      <c r="AJ9" s="5">
        <f t="shared" si="6"/>
        <v>8.3000000000000004E-2</v>
      </c>
    </row>
    <row r="10" spans="1:51" x14ac:dyDescent="0.25">
      <c r="A10" s="22">
        <v>5</v>
      </c>
      <c r="B10" s="4">
        <f t="shared" si="3"/>
        <v>123</v>
      </c>
      <c r="C10" s="4" t="str">
        <f t="shared" si="0"/>
        <v>Academic</v>
      </c>
      <c r="D10" t="str">
        <f t="shared" si="4"/>
        <v>FY 1900</v>
      </c>
      <c r="E10" t="e">
        <f>IF(OR(D10=#REF!,D10=$T$1,D10=$U$1),D10,IF(RIGHT(D10,4)&gt;RIGHT($U$1,4),$U$1,IF(D10="","",#REF!)))</f>
        <v>#REF!</v>
      </c>
      <c r="F10" t="str">
        <f t="shared" si="7"/>
        <v>AY 1899-1900</v>
      </c>
      <c r="G10" s="2" t="str">
        <f t="shared" si="1"/>
        <v/>
      </c>
      <c r="H10" s="2" t="str">
        <f t="shared" si="1"/>
        <v/>
      </c>
      <c r="I10" s="2" t="str">
        <f t="shared" si="1"/>
        <v/>
      </c>
      <c r="J10" s="2" t="str">
        <f t="shared" si="5"/>
        <v>Year 1</v>
      </c>
      <c r="K10" s="5" t="str">
        <f t="shared" si="2"/>
        <v/>
      </c>
      <c r="L10" s="5" t="str">
        <f t="shared" si="2"/>
        <v/>
      </c>
      <c r="M10" s="5" t="str">
        <f t="shared" si="2"/>
        <v/>
      </c>
      <c r="N10" s="5" t="str">
        <f t="shared" si="2"/>
        <v/>
      </c>
      <c r="O10" s="5" t="str">
        <f t="shared" si="2"/>
        <v/>
      </c>
      <c r="P10" s="5" t="str">
        <f t="shared" si="2"/>
        <v/>
      </c>
      <c r="Q10" s="5" t="str">
        <f t="shared" si="2"/>
        <v/>
      </c>
      <c r="R10" s="3"/>
      <c r="AA10" t="s">
        <v>73</v>
      </c>
      <c r="AB10" s="2">
        <f t="shared" si="8"/>
        <v>4336.3507200000004</v>
      </c>
      <c r="AC10" s="2">
        <f t="shared" si="8"/>
        <v>2203.2192</v>
      </c>
      <c r="AD10" s="2">
        <f t="shared" si="8"/>
        <v>767.93600000000004</v>
      </c>
    </row>
    <row r="11" spans="1:51" x14ac:dyDescent="0.25">
      <c r="A11" s="22">
        <v>6</v>
      </c>
      <c r="B11" s="4">
        <f t="shared" si="3"/>
        <v>154</v>
      </c>
      <c r="C11" s="4" t="str">
        <f t="shared" si="0"/>
        <v>Summer</v>
      </c>
      <c r="D11" t="str">
        <f t="shared" si="4"/>
        <v>FY 1900</v>
      </c>
      <c r="E11" t="e">
        <f>IF(OR(D11=#REF!,D11=$T$1,D11=$U$1),D11,IF(RIGHT(D11,4)&gt;RIGHT($U$1,4),$U$1,IF(D11="","",#REF!)))</f>
        <v>#REF!</v>
      </c>
      <c r="F11" t="str">
        <f t="shared" si="7"/>
        <v>SU 1899-1900</v>
      </c>
      <c r="G11" s="2" t="str">
        <f t="shared" si="1"/>
        <v/>
      </c>
      <c r="H11" s="2" t="str">
        <f t="shared" si="1"/>
        <v/>
      </c>
      <c r="I11" s="2" t="str">
        <f t="shared" si="1"/>
        <v/>
      </c>
      <c r="J11" s="2" t="str">
        <f t="shared" si="5"/>
        <v>Year 1</v>
      </c>
      <c r="K11" s="5" t="str">
        <f t="shared" si="2"/>
        <v/>
      </c>
      <c r="L11" s="5" t="str">
        <f t="shared" si="2"/>
        <v/>
      </c>
      <c r="M11" s="5" t="str">
        <f t="shared" si="2"/>
        <v/>
      </c>
      <c r="N11" s="5" t="str">
        <f t="shared" si="2"/>
        <v/>
      </c>
      <c r="O11" s="5" t="str">
        <f t="shared" si="2"/>
        <v/>
      </c>
      <c r="P11" s="5" t="str">
        <f t="shared" si="2"/>
        <v/>
      </c>
      <c r="Q11" s="5" t="str">
        <f t="shared" si="2"/>
        <v/>
      </c>
      <c r="R11" s="3"/>
      <c r="S11" s="3">
        <f>COUNTIFS(J6:J125,"Year 1",C6:C125,"Summer",B6:B125,"&gt;="&amp;B3)*DSUM(S14:X19,T14,U11:U12)+DSUM(S14:X19,T14,T11:T12)</f>
        <v>0</v>
      </c>
      <c r="T11" s="30" t="s">
        <v>110</v>
      </c>
      <c r="U11" s="30" t="s">
        <v>110</v>
      </c>
      <c r="V11" s="30" t="s">
        <v>110</v>
      </c>
      <c r="W11" s="30" t="s">
        <v>110</v>
      </c>
      <c r="X11" s="30" t="s">
        <v>110</v>
      </c>
      <c r="AA11" t="s">
        <v>74</v>
      </c>
      <c r="AB11" s="2">
        <f t="shared" si="8"/>
        <v>4509.8047488000002</v>
      </c>
      <c r="AC11" s="2">
        <f t="shared" si="8"/>
        <v>2291.347968</v>
      </c>
      <c r="AD11" s="2">
        <f t="shared" si="8"/>
        <v>798.65344000000005</v>
      </c>
    </row>
    <row r="12" spans="1:51" x14ac:dyDescent="0.25">
      <c r="A12" s="22">
        <v>7</v>
      </c>
      <c r="B12" s="4">
        <f t="shared" si="3"/>
        <v>184</v>
      </c>
      <c r="C12" s="4" t="str">
        <f t="shared" si="0"/>
        <v>Summer</v>
      </c>
      <c r="D12" t="str">
        <f t="shared" si="4"/>
        <v>FY 1901</v>
      </c>
      <c r="E12" t="e">
        <f>IF(OR(D12=#REF!,D12=$T$1,D12=$U$1),D12,IF(RIGHT(D12,4)&gt;RIGHT($U$1,4),$U$1,IF(D12="","",#REF!)))</f>
        <v>#REF!</v>
      </c>
      <c r="F12" t="str">
        <f>IF(ISERROR(IF(OR(MONTH(B12)&lt;6,MONTH(B12)&gt;8),IF(MONTH(B12)&lt;6,"AY "&amp;YEAR(B12)-1&amp;"-"&amp;YEAR(B12),"AY "&amp;YEAR(B12)&amp;"-"&amp;YEAR(B12)+1),"SU "&amp;YEAR(B12)-1&amp;"-"&amp;YEAR(B12))),"",IF(OR(MONTH(B12)&lt;6,MONTH(B12)&gt;8),IF(MONTH(B12)&lt;6,"AY "&amp;YEAR(B12)-1&amp;"-"&amp;YEAR(B12),"AY "&amp;YEAR(B12)&amp;"-"&amp;YEAR(B12)+1),"SU "&amp;YEAR(B12)-1&amp;"-"&amp;YEAR(B12)))</f>
        <v>SU 1899-1900</v>
      </c>
      <c r="G12" s="2" t="str">
        <f t="shared" si="1"/>
        <v/>
      </c>
      <c r="H12" s="2" t="str">
        <f t="shared" si="1"/>
        <v/>
      </c>
      <c r="I12" s="2" t="str">
        <f t="shared" si="1"/>
        <v/>
      </c>
      <c r="J12" s="2" t="str">
        <f t="shared" si="5"/>
        <v>Year 1</v>
      </c>
      <c r="K12" s="5" t="str">
        <f t="shared" si="2"/>
        <v/>
      </c>
      <c r="L12" s="5" t="str">
        <f t="shared" si="2"/>
        <v/>
      </c>
      <c r="M12" s="5" t="str">
        <f t="shared" si="2"/>
        <v/>
      </c>
      <c r="N12" s="5" t="str">
        <f t="shared" si="2"/>
        <v/>
      </c>
      <c r="O12" s="5" t="str">
        <f t="shared" si="2"/>
        <v/>
      </c>
      <c r="P12" s="5" t="str">
        <f t="shared" si="2"/>
        <v/>
      </c>
      <c r="Q12" s="5" t="str">
        <f t="shared" si="2"/>
        <v/>
      </c>
      <c r="T12" s="22" t="str">
        <f>"=FY 2012"</f>
        <v>=FY 2012</v>
      </c>
      <c r="U12" s="22" t="str">
        <f>"=FY 2013"</f>
        <v>=FY 2013</v>
      </c>
      <c r="V12" s="22" t="str">
        <f>"=FY 2014"</f>
        <v>=FY 2014</v>
      </c>
      <c r="W12" s="22" t="str">
        <f>"=FY 2015"</f>
        <v>=FY 2015</v>
      </c>
      <c r="X12" s="22" t="str">
        <f>"=FY 2016"</f>
        <v>=FY 2016</v>
      </c>
      <c r="AA12" t="s">
        <v>75</v>
      </c>
      <c r="AB12" s="2">
        <f t="shared" si="8"/>
        <v>4690.1969387520003</v>
      </c>
      <c r="AC12" s="2">
        <f t="shared" si="8"/>
        <v>2383.0018867200001</v>
      </c>
      <c r="AD12" s="2">
        <f t="shared" si="8"/>
        <v>830.59957760000009</v>
      </c>
      <c r="AF12" s="22" t="s">
        <v>201</v>
      </c>
      <c r="AG12">
        <v>2012</v>
      </c>
      <c r="AH12">
        <v>2013</v>
      </c>
      <c r="AI12">
        <v>2014</v>
      </c>
      <c r="AJ12">
        <v>2015</v>
      </c>
      <c r="AK12">
        <v>2016</v>
      </c>
      <c r="AL12">
        <v>2017</v>
      </c>
      <c r="AM12">
        <v>2018</v>
      </c>
      <c r="AN12">
        <v>2019</v>
      </c>
      <c r="AO12">
        <v>2020</v>
      </c>
      <c r="AP12">
        <v>2021</v>
      </c>
      <c r="AQ12">
        <v>2022</v>
      </c>
      <c r="AR12">
        <v>2023</v>
      </c>
      <c r="AS12">
        <v>2024</v>
      </c>
      <c r="AT12">
        <v>2025</v>
      </c>
      <c r="AU12">
        <v>2026</v>
      </c>
      <c r="AV12">
        <v>2027</v>
      </c>
      <c r="AW12">
        <v>2028</v>
      </c>
      <c r="AX12">
        <v>2029</v>
      </c>
      <c r="AY12">
        <v>2030</v>
      </c>
    </row>
    <row r="13" spans="1:51" x14ac:dyDescent="0.25">
      <c r="A13" s="22">
        <v>8</v>
      </c>
      <c r="B13" s="4">
        <f t="shared" si="3"/>
        <v>215</v>
      </c>
      <c r="C13" s="4" t="str">
        <f t="shared" si="0"/>
        <v>Summer</v>
      </c>
      <c r="D13" t="str">
        <f t="shared" si="4"/>
        <v>FY 1901</v>
      </c>
      <c r="E13" t="e">
        <f>IF(OR(D13=#REF!,D13=$T$1,D13=$U$1),D13,IF(RIGHT(D13,4)&gt;RIGHT($U$1,4),$U$1,IF(D13="","",#REF!)))</f>
        <v>#REF!</v>
      </c>
      <c r="F13" t="str">
        <f t="shared" si="7"/>
        <v>SU 1899-1900</v>
      </c>
      <c r="G13" s="2" t="str">
        <f t="shared" si="1"/>
        <v/>
      </c>
      <c r="H13" s="2" t="str">
        <f t="shared" si="1"/>
        <v/>
      </c>
      <c r="I13" s="2" t="str">
        <f t="shared" si="1"/>
        <v/>
      </c>
      <c r="J13" s="2" t="str">
        <f t="shared" si="5"/>
        <v>Year 1</v>
      </c>
      <c r="K13" s="5" t="str">
        <f t="shared" si="2"/>
        <v/>
      </c>
      <c r="L13" s="5" t="str">
        <f t="shared" si="2"/>
        <v/>
      </c>
      <c r="M13" s="5" t="str">
        <f t="shared" si="2"/>
        <v/>
      </c>
      <c r="N13" s="5" t="str">
        <f t="shared" si="2"/>
        <v/>
      </c>
      <c r="O13" s="5" t="str">
        <f t="shared" si="2"/>
        <v/>
      </c>
      <c r="P13" s="5" t="str">
        <f t="shared" si="2"/>
        <v/>
      </c>
      <c r="Q13" s="5" t="str">
        <f t="shared" si="2"/>
        <v/>
      </c>
      <c r="AA13" t="s">
        <v>76</v>
      </c>
      <c r="AB13" s="2">
        <f t="shared" si="8"/>
        <v>4877.8048163020803</v>
      </c>
      <c r="AC13" s="2">
        <f t="shared" si="8"/>
        <v>2478.3219621888002</v>
      </c>
      <c r="AD13" s="2">
        <f t="shared" si="8"/>
        <v>863.8235607040001</v>
      </c>
      <c r="AF13" t="s">
        <v>95</v>
      </c>
      <c r="AG13" s="110">
        <f>AG6</f>
        <v>0.17</v>
      </c>
      <c r="AH13" s="110">
        <f t="shared" ref="AH13:AI13" si="9">AH6</f>
        <v>0.17</v>
      </c>
      <c r="AI13" s="110">
        <f t="shared" si="9"/>
        <v>0.17100000000000001</v>
      </c>
      <c r="AJ13" s="110">
        <f>AI13</f>
        <v>0.17100000000000001</v>
      </c>
      <c r="AK13" s="110">
        <f t="shared" ref="AK13:AY13" si="10">AJ13</f>
        <v>0.17100000000000001</v>
      </c>
      <c r="AL13" s="110">
        <f t="shared" si="10"/>
        <v>0.17100000000000001</v>
      </c>
      <c r="AM13" s="110">
        <f t="shared" si="10"/>
        <v>0.17100000000000001</v>
      </c>
      <c r="AN13" s="110">
        <f t="shared" si="10"/>
        <v>0.17100000000000001</v>
      </c>
      <c r="AO13" s="110">
        <f t="shared" si="10"/>
        <v>0.17100000000000001</v>
      </c>
      <c r="AP13" s="110">
        <f t="shared" si="10"/>
        <v>0.17100000000000001</v>
      </c>
      <c r="AQ13" s="110">
        <f t="shared" si="10"/>
        <v>0.17100000000000001</v>
      </c>
      <c r="AR13" s="110">
        <f t="shared" si="10"/>
        <v>0.17100000000000001</v>
      </c>
      <c r="AS13" s="110">
        <f t="shared" si="10"/>
        <v>0.17100000000000001</v>
      </c>
      <c r="AT13" s="110">
        <f t="shared" si="10"/>
        <v>0.17100000000000001</v>
      </c>
      <c r="AU13" s="110">
        <f t="shared" si="10"/>
        <v>0.17100000000000001</v>
      </c>
      <c r="AV13" s="110">
        <f t="shared" si="10"/>
        <v>0.17100000000000001</v>
      </c>
      <c r="AW13" s="110">
        <f t="shared" si="10"/>
        <v>0.17100000000000001</v>
      </c>
      <c r="AX13" s="110">
        <f t="shared" si="10"/>
        <v>0.17100000000000001</v>
      </c>
      <c r="AY13" s="110">
        <f t="shared" si="10"/>
        <v>0.17100000000000001</v>
      </c>
    </row>
    <row r="14" spans="1:51" x14ac:dyDescent="0.25">
      <c r="A14" s="22">
        <v>9</v>
      </c>
      <c r="B14" s="4">
        <f t="shared" si="3"/>
        <v>246</v>
      </c>
      <c r="C14" s="4" t="str">
        <f t="shared" si="0"/>
        <v>Academic</v>
      </c>
      <c r="D14" t="str">
        <f t="shared" si="4"/>
        <v>FY 1901</v>
      </c>
      <c r="E14" t="e">
        <f>IF(OR(D14=#REF!,D14=$T$1,D14=$U$1),D14,IF(RIGHT(D14,4)&gt;RIGHT($U$1,4),$U$1,IF(D14="","",#REF!)))</f>
        <v>#REF!</v>
      </c>
      <c r="F14" t="str">
        <f t="shared" si="7"/>
        <v>AY 1900-1901</v>
      </c>
      <c r="G14" s="2" t="str">
        <f t="shared" si="1"/>
        <v/>
      </c>
      <c r="H14" s="2" t="str">
        <f t="shared" si="1"/>
        <v/>
      </c>
      <c r="I14" s="2" t="str">
        <f t="shared" si="1"/>
        <v/>
      </c>
      <c r="J14" s="2" t="str">
        <f t="shared" si="5"/>
        <v>Year 1</v>
      </c>
      <c r="K14" s="5" t="str">
        <f t="shared" si="2"/>
        <v/>
      </c>
      <c r="L14" s="5" t="str">
        <f t="shared" si="2"/>
        <v/>
      </c>
      <c r="M14" s="5" t="str">
        <f t="shared" si="2"/>
        <v/>
      </c>
      <c r="N14" s="5" t="str">
        <f t="shared" si="2"/>
        <v/>
      </c>
      <c r="O14" s="5" t="str">
        <f t="shared" si="2"/>
        <v/>
      </c>
      <c r="P14" s="5" t="str">
        <f t="shared" si="2"/>
        <v/>
      </c>
      <c r="Q14" s="5" t="str">
        <f t="shared" si="2"/>
        <v/>
      </c>
      <c r="S14" s="21" t="s">
        <v>110</v>
      </c>
      <c r="T14" s="21" t="str">
        <f>IF($H$2&gt;0,"Year 1","")</f>
        <v>Year 1</v>
      </c>
      <c r="U14" s="21" t="str">
        <f>IF($H$2&gt;12,"Year 2","")</f>
        <v>Year 2</v>
      </c>
      <c r="V14" s="21" t="str">
        <f>IF($H$2&gt;24,"Year 3","")</f>
        <v>Year 3</v>
      </c>
      <c r="W14" s="21" t="str">
        <f>IF($H$2&gt;36,"Year 4","")</f>
        <v>Year 4</v>
      </c>
      <c r="X14" s="21" t="str">
        <f>IF($H$2&gt;48,"Year 5","")</f>
        <v>Year 5</v>
      </c>
      <c r="AA14" t="s">
        <v>77</v>
      </c>
      <c r="AB14" s="2">
        <f t="shared" si="8"/>
        <v>5072.917008954164</v>
      </c>
      <c r="AC14" s="2">
        <f t="shared" si="8"/>
        <v>2577.4548406763524</v>
      </c>
      <c r="AD14" s="2">
        <f t="shared" si="8"/>
        <v>898.37650313216011</v>
      </c>
      <c r="AF14" t="s">
        <v>193</v>
      </c>
      <c r="AG14" s="110">
        <f t="shared" ref="AG14:AI16" si="11">AG7</f>
        <v>0.28000000000000003</v>
      </c>
      <c r="AH14" s="110">
        <f t="shared" si="11"/>
        <v>0.255</v>
      </c>
      <c r="AI14" s="110">
        <f t="shared" si="11"/>
        <v>0.27700000000000002</v>
      </c>
      <c r="AJ14" s="110">
        <f t="shared" ref="AJ14:AY16" si="12">AI14</f>
        <v>0.27700000000000002</v>
      </c>
      <c r="AK14" s="110">
        <f t="shared" si="12"/>
        <v>0.27700000000000002</v>
      </c>
      <c r="AL14" s="110">
        <f t="shared" si="12"/>
        <v>0.27700000000000002</v>
      </c>
      <c r="AM14" s="110">
        <f t="shared" si="12"/>
        <v>0.27700000000000002</v>
      </c>
      <c r="AN14" s="110">
        <f t="shared" si="12"/>
        <v>0.27700000000000002</v>
      </c>
      <c r="AO14" s="110">
        <f t="shared" si="12"/>
        <v>0.27700000000000002</v>
      </c>
      <c r="AP14" s="110">
        <f t="shared" si="12"/>
        <v>0.27700000000000002</v>
      </c>
      <c r="AQ14" s="110">
        <f t="shared" si="12"/>
        <v>0.27700000000000002</v>
      </c>
      <c r="AR14" s="110">
        <f t="shared" si="12"/>
        <v>0.27700000000000002</v>
      </c>
      <c r="AS14" s="110">
        <f t="shared" si="12"/>
        <v>0.27700000000000002</v>
      </c>
      <c r="AT14" s="110">
        <f t="shared" si="12"/>
        <v>0.27700000000000002</v>
      </c>
      <c r="AU14" s="110">
        <f t="shared" si="12"/>
        <v>0.27700000000000002</v>
      </c>
      <c r="AV14" s="110">
        <f t="shared" si="12"/>
        <v>0.27700000000000002</v>
      </c>
      <c r="AW14" s="110">
        <f t="shared" si="12"/>
        <v>0.27700000000000002</v>
      </c>
      <c r="AX14" s="110">
        <f t="shared" si="12"/>
        <v>0.27700000000000002</v>
      </c>
      <c r="AY14" s="110">
        <f t="shared" si="12"/>
        <v>0.27700000000000002</v>
      </c>
    </row>
    <row r="15" spans="1:51" x14ac:dyDescent="0.25">
      <c r="A15" s="22">
        <v>10</v>
      </c>
      <c r="B15" s="4">
        <f t="shared" si="3"/>
        <v>276</v>
      </c>
      <c r="C15" s="4" t="str">
        <f t="shared" si="0"/>
        <v>Academic</v>
      </c>
      <c r="D15" t="str">
        <f t="shared" si="4"/>
        <v>FY 1901</v>
      </c>
      <c r="E15" t="e">
        <f>IF(OR(D15=#REF!,D15=$T$1,D15=$U$1),D15,IF(RIGHT(D15,4)&gt;RIGHT($U$1,4),$U$1,IF(D15="","",#REF!)))</f>
        <v>#REF!</v>
      </c>
      <c r="F15" t="str">
        <f t="shared" si="7"/>
        <v>AY 1900-1901</v>
      </c>
      <c r="G15" s="2" t="str">
        <f t="shared" si="1"/>
        <v/>
      </c>
      <c r="H15" s="2" t="str">
        <f t="shared" si="1"/>
        <v/>
      </c>
      <c r="I15" s="2" t="str">
        <f t="shared" si="1"/>
        <v/>
      </c>
      <c r="J15" s="2" t="str">
        <f t="shared" si="5"/>
        <v>Year 1</v>
      </c>
      <c r="K15" s="5" t="str">
        <f t="shared" si="2"/>
        <v/>
      </c>
      <c r="L15" s="5" t="str">
        <f t="shared" si="2"/>
        <v/>
      </c>
      <c r="M15" s="5" t="str">
        <f t="shared" si="2"/>
        <v/>
      </c>
      <c r="N15" s="5" t="str">
        <f t="shared" si="2"/>
        <v/>
      </c>
      <c r="O15" s="5" t="str">
        <f t="shared" si="2"/>
        <v/>
      </c>
      <c r="P15" s="5" t="str">
        <f t="shared" si="2"/>
        <v/>
      </c>
      <c r="Q15" s="5" t="str">
        <f t="shared" si="2"/>
        <v/>
      </c>
      <c r="S15" s="21" t="s">
        <v>90</v>
      </c>
      <c r="T15">
        <f>COUNTIF($E$6:$E$17, S15)</f>
        <v>0</v>
      </c>
      <c r="U15">
        <f>COUNTIF($E$18:$E$29, $S15)</f>
        <v>0</v>
      </c>
      <c r="V15">
        <f>COUNTIF($E$30:$E$41, $S15)</f>
        <v>0</v>
      </c>
      <c r="W15">
        <f>COUNTIF($E$42:$E$53, $S15)</f>
        <v>0</v>
      </c>
      <c r="X15">
        <f>COUNTIF($E$54:$E$65, $S15)</f>
        <v>0</v>
      </c>
      <c r="AF15" t="s">
        <v>100</v>
      </c>
      <c r="AG15" s="110">
        <f t="shared" si="11"/>
        <v>0.17</v>
      </c>
      <c r="AH15" s="110">
        <f t="shared" si="11"/>
        <v>0.18</v>
      </c>
      <c r="AI15" s="110">
        <f t="shared" si="11"/>
        <v>0.17799999999999999</v>
      </c>
      <c r="AJ15" s="110">
        <f t="shared" si="12"/>
        <v>0.17799999999999999</v>
      </c>
      <c r="AK15" s="110">
        <f t="shared" si="12"/>
        <v>0.17799999999999999</v>
      </c>
      <c r="AL15" s="110">
        <f t="shared" si="12"/>
        <v>0.17799999999999999</v>
      </c>
      <c r="AM15" s="110">
        <f t="shared" si="12"/>
        <v>0.17799999999999999</v>
      </c>
      <c r="AN15" s="110">
        <f t="shared" si="12"/>
        <v>0.17799999999999999</v>
      </c>
      <c r="AO15" s="110">
        <f t="shared" si="12"/>
        <v>0.17799999999999999</v>
      </c>
      <c r="AP15" s="110">
        <f t="shared" si="12"/>
        <v>0.17799999999999999</v>
      </c>
      <c r="AQ15" s="110">
        <f t="shared" si="12"/>
        <v>0.17799999999999999</v>
      </c>
      <c r="AR15" s="110">
        <f t="shared" si="12"/>
        <v>0.17799999999999999</v>
      </c>
      <c r="AS15" s="110">
        <f t="shared" si="12"/>
        <v>0.17799999999999999</v>
      </c>
      <c r="AT15" s="110">
        <f t="shared" si="12"/>
        <v>0.17799999999999999</v>
      </c>
      <c r="AU15" s="110">
        <f t="shared" si="12"/>
        <v>0.17799999999999999</v>
      </c>
      <c r="AV15" s="110">
        <f t="shared" si="12"/>
        <v>0.17799999999999999</v>
      </c>
      <c r="AW15" s="110">
        <f t="shared" si="12"/>
        <v>0.17799999999999999</v>
      </c>
      <c r="AX15" s="110">
        <f t="shared" si="12"/>
        <v>0.17799999999999999</v>
      </c>
      <c r="AY15" s="110">
        <f t="shared" si="12"/>
        <v>0.17799999999999999</v>
      </c>
    </row>
    <row r="16" spans="1:51" x14ac:dyDescent="0.25">
      <c r="A16" s="22">
        <v>11</v>
      </c>
      <c r="B16" s="4">
        <f t="shared" si="3"/>
        <v>307</v>
      </c>
      <c r="C16" s="4" t="str">
        <f t="shared" si="0"/>
        <v>Academic</v>
      </c>
      <c r="D16" t="str">
        <f t="shared" si="4"/>
        <v>FY 1901</v>
      </c>
      <c r="E16" t="e">
        <f>IF(OR(D16=#REF!,D16=$T$1,D16=$U$1),D16,IF(RIGHT(D16,4)&gt;RIGHT($U$1,4),$U$1,IF(D16="","",#REF!)))</f>
        <v>#REF!</v>
      </c>
      <c r="F16" t="str">
        <f t="shared" si="7"/>
        <v>AY 1900-1901</v>
      </c>
      <c r="G16" s="2" t="str">
        <f t="shared" si="1"/>
        <v/>
      </c>
      <c r="H16" s="2" t="str">
        <f t="shared" si="1"/>
        <v/>
      </c>
      <c r="I16" s="2" t="str">
        <f t="shared" si="1"/>
        <v/>
      </c>
      <c r="J16" s="2" t="str">
        <f t="shared" si="5"/>
        <v>Year 1</v>
      </c>
      <c r="K16" s="5" t="str">
        <f t="shared" ref="K16:Q25" si="13">IF(ISERROR(IF(RIGHT($E16,4)&gt;RIGHT($U$1,4),INDEX($V$43:$X$55,MATCH(K$5,$T$43:$T$55,0),MATCH($U$1,$V$42:$X$42,0)),INDEX($V$43:$X$55,MATCH(K$5,$T$43:$T$55,0),MATCH($E16,$V$42:$X$42,0)))),"",
IF(OR(K$5="FTS",K$5="PTU",K$5="PTS",K$5="PTG"),
IF($C16="Summer",
IF(RIGHT($E16,4)&gt;RIGHT($U$1,4),INDEX($V$43:$X$55,MATCH(K$5,$T$43:$T$55,0),MATCH($U$1,$V$42:$X$42,0)),INDEX($V$43:$X$55,MATCH(K$5,$T$43:$T$55,0),MATCH($E16,$V$42:$X$42,0))),0),IF(RIGHT($E16,4)&gt;RIGHT($U$1,4),INDEX($V$43:$X$55,MATCH(K$5,$T$43:$T$55,0),MATCH($U$1,$V$42:$X$42,0)),INDEX($V$43:$X$55,MATCH(K$5,$T$43:$T$55,0),MATCH($E16,$V$42:$X$42,0)))))</f>
        <v/>
      </c>
      <c r="L16" s="5" t="str">
        <f t="shared" si="13"/>
        <v/>
      </c>
      <c r="M16" s="5" t="str">
        <f t="shared" si="13"/>
        <v/>
      </c>
      <c r="N16" s="5" t="str">
        <f t="shared" si="13"/>
        <v/>
      </c>
      <c r="O16" s="5" t="str">
        <f t="shared" si="13"/>
        <v/>
      </c>
      <c r="P16" s="5" t="str">
        <f t="shared" si="13"/>
        <v/>
      </c>
      <c r="Q16" s="5" t="str">
        <f t="shared" si="13"/>
        <v/>
      </c>
      <c r="S16" s="21" t="s">
        <v>91</v>
      </c>
      <c r="T16">
        <f>COUNTIF($E$6:$E$17, S16)</f>
        <v>0</v>
      </c>
      <c r="U16">
        <f>COUNTIF($E$18:$E$29, $S16)</f>
        <v>0</v>
      </c>
      <c r="V16">
        <f>COUNTIF($E$30:$E$41, $S16)</f>
        <v>0</v>
      </c>
      <c r="W16">
        <f>COUNTIF($E$42:$E$53, $S16)</f>
        <v>0</v>
      </c>
      <c r="X16">
        <f>COUNTIF($E$54:$E$65, $S16)</f>
        <v>0</v>
      </c>
      <c r="AA16" s="24" t="s">
        <v>79</v>
      </c>
      <c r="AB16" s="21" t="s">
        <v>67</v>
      </c>
      <c r="AC16" s="21" t="s">
        <v>1</v>
      </c>
      <c r="AD16" s="21" t="s">
        <v>68</v>
      </c>
      <c r="AF16" s="22" t="s">
        <v>194</v>
      </c>
      <c r="AG16" s="110">
        <f t="shared" si="11"/>
        <v>0.09</v>
      </c>
      <c r="AH16" s="110">
        <f t="shared" si="11"/>
        <v>0.08</v>
      </c>
      <c r="AI16" s="110">
        <f t="shared" si="11"/>
        <v>8.3000000000000004E-2</v>
      </c>
      <c r="AJ16" s="110">
        <f t="shared" si="12"/>
        <v>8.3000000000000004E-2</v>
      </c>
      <c r="AK16" s="110">
        <f t="shared" si="12"/>
        <v>8.3000000000000004E-2</v>
      </c>
      <c r="AL16" s="110">
        <f t="shared" si="12"/>
        <v>8.3000000000000004E-2</v>
      </c>
      <c r="AM16" s="110">
        <f t="shared" si="12"/>
        <v>8.3000000000000004E-2</v>
      </c>
      <c r="AN16" s="110">
        <f t="shared" si="12"/>
        <v>8.3000000000000004E-2</v>
      </c>
      <c r="AO16" s="110">
        <f t="shared" si="12"/>
        <v>8.3000000000000004E-2</v>
      </c>
      <c r="AP16" s="110">
        <f t="shared" si="12"/>
        <v>8.3000000000000004E-2</v>
      </c>
      <c r="AQ16" s="110">
        <f t="shared" si="12"/>
        <v>8.3000000000000004E-2</v>
      </c>
      <c r="AR16" s="110">
        <f t="shared" si="12"/>
        <v>8.3000000000000004E-2</v>
      </c>
      <c r="AS16" s="110">
        <f t="shared" si="12"/>
        <v>8.3000000000000004E-2</v>
      </c>
      <c r="AT16" s="110">
        <f t="shared" si="12"/>
        <v>8.3000000000000004E-2</v>
      </c>
      <c r="AU16" s="110">
        <f t="shared" si="12"/>
        <v>8.3000000000000004E-2</v>
      </c>
      <c r="AV16" s="110">
        <f t="shared" si="12"/>
        <v>8.3000000000000004E-2</v>
      </c>
      <c r="AW16" s="110">
        <f t="shared" si="12"/>
        <v>8.3000000000000004E-2</v>
      </c>
      <c r="AX16" s="110">
        <f t="shared" si="12"/>
        <v>8.3000000000000004E-2</v>
      </c>
      <c r="AY16" s="110">
        <f t="shared" si="12"/>
        <v>8.3000000000000004E-2</v>
      </c>
    </row>
    <row r="17" spans="1:35" x14ac:dyDescent="0.25">
      <c r="A17" s="22">
        <v>12</v>
      </c>
      <c r="B17" s="4">
        <f t="shared" si="3"/>
        <v>337</v>
      </c>
      <c r="C17" s="4" t="str">
        <f t="shared" si="0"/>
        <v>Academic</v>
      </c>
      <c r="D17" t="str">
        <f t="shared" si="4"/>
        <v>FY 1901</v>
      </c>
      <c r="E17" t="e">
        <f>IF(OR(D17=#REF!,D17=$T$1,D17=$U$1),D17,IF(RIGHT(D17,4)&gt;RIGHT($U$1,4),$U$1,IF(D17="","",#REF!)))</f>
        <v>#REF!</v>
      </c>
      <c r="F17" t="str">
        <f t="shared" si="7"/>
        <v>AY 1900-1901</v>
      </c>
      <c r="G17" s="2" t="str">
        <f t="shared" si="1"/>
        <v/>
      </c>
      <c r="H17" s="2" t="str">
        <f t="shared" si="1"/>
        <v/>
      </c>
      <c r="I17" s="2" t="str">
        <f t="shared" si="1"/>
        <v/>
      </c>
      <c r="J17" s="2" t="str">
        <f t="shared" si="5"/>
        <v>Year 1</v>
      </c>
      <c r="K17" s="5" t="str">
        <f t="shared" si="13"/>
        <v/>
      </c>
      <c r="L17" s="5" t="str">
        <f t="shared" si="13"/>
        <v/>
      </c>
      <c r="M17" s="5" t="str">
        <f t="shared" si="13"/>
        <v/>
      </c>
      <c r="N17" s="5" t="str">
        <f t="shared" si="13"/>
        <v/>
      </c>
      <c r="O17" s="5" t="str">
        <f t="shared" si="13"/>
        <v/>
      </c>
      <c r="P17" s="5" t="str">
        <f t="shared" si="13"/>
        <v/>
      </c>
      <c r="Q17" s="5" t="str">
        <f t="shared" si="13"/>
        <v/>
      </c>
      <c r="S17" s="21" t="s">
        <v>92</v>
      </c>
      <c r="T17">
        <f>COUNTIF($E$6:$E$17, S17)</f>
        <v>0</v>
      </c>
      <c r="U17">
        <f>COUNTIF($E$18:$E$29, $S17)</f>
        <v>0</v>
      </c>
      <c r="V17">
        <f>COUNTIF($E$30:$E$41, $S17)</f>
        <v>0</v>
      </c>
      <c r="W17">
        <f>COUNTIF($E$42:$E$53, $S17)</f>
        <v>0</v>
      </c>
      <c r="X17">
        <f>COUNTIF($E$54:$E$65, $S17)</f>
        <v>0</v>
      </c>
      <c r="AA17" t="s">
        <v>69</v>
      </c>
      <c r="AB17" s="2">
        <f>AB6/9</f>
        <v>412.06666666666666</v>
      </c>
      <c r="AC17" s="2">
        <f>AC6/12</f>
        <v>143.58333333333334</v>
      </c>
      <c r="AD17" s="2">
        <f>AD6/9</f>
        <v>74.222222222222229</v>
      </c>
    </row>
    <row r="18" spans="1:35" x14ac:dyDescent="0.25">
      <c r="A18" s="22">
        <v>13</v>
      </c>
      <c r="B18" s="4">
        <f t="shared" si="3"/>
        <v>368</v>
      </c>
      <c r="C18" s="4" t="str">
        <f t="shared" si="0"/>
        <v>Academic</v>
      </c>
      <c r="D18" t="str">
        <f t="shared" si="4"/>
        <v>FY 1901</v>
      </c>
      <c r="E18" t="e">
        <f>IF(OR(D18=#REF!,D18=$T$1,D18=$U$1),D18,IF(RIGHT(D18,4)&gt;RIGHT($U$1,4),$U$1,IF(D18="","",#REF!)))</f>
        <v>#REF!</v>
      </c>
      <c r="F18" t="str">
        <f t="shared" si="7"/>
        <v>AY 1900-1901</v>
      </c>
      <c r="G18" s="2" t="str">
        <f t="shared" si="1"/>
        <v/>
      </c>
      <c r="H18" s="2" t="str">
        <f t="shared" si="1"/>
        <v/>
      </c>
      <c r="I18" s="2" t="str">
        <f t="shared" si="1"/>
        <v/>
      </c>
      <c r="J18" s="2" t="str">
        <f t="shared" si="5"/>
        <v>Year 2</v>
      </c>
      <c r="K18" s="5" t="str">
        <f t="shared" si="13"/>
        <v/>
      </c>
      <c r="L18" s="5" t="str">
        <f t="shared" si="13"/>
        <v/>
      </c>
      <c r="M18" s="5" t="str">
        <f t="shared" si="13"/>
        <v/>
      </c>
      <c r="N18" s="5" t="str">
        <f t="shared" si="13"/>
        <v/>
      </c>
      <c r="O18" s="5" t="str">
        <f t="shared" si="13"/>
        <v/>
      </c>
      <c r="P18" s="5" t="str">
        <f t="shared" si="13"/>
        <v/>
      </c>
      <c r="Q18" s="5" t="str">
        <f t="shared" si="13"/>
        <v/>
      </c>
      <c r="S18" s="21" t="s">
        <v>93</v>
      </c>
      <c r="T18">
        <f>COUNTIF($E$6:$E$17, S18)</f>
        <v>0</v>
      </c>
      <c r="U18">
        <f>COUNTIF($E$18:$E$29, $S18)</f>
        <v>0</v>
      </c>
      <c r="V18">
        <f>COUNTIF($E$30:$E$41, $S18)</f>
        <v>0</v>
      </c>
      <c r="W18">
        <f>COUNTIF($E$42:$E$53, $S18)</f>
        <v>0</v>
      </c>
      <c r="X18">
        <f>COUNTIF($E$54:$E$65, $S18)</f>
        <v>0</v>
      </c>
      <c r="AA18" t="s">
        <v>80</v>
      </c>
      <c r="AB18" s="2">
        <f>0</f>
        <v>0</v>
      </c>
      <c r="AC18" s="2">
        <f>AC17</f>
        <v>143.58333333333334</v>
      </c>
      <c r="AD18" s="2">
        <f>0</f>
        <v>0</v>
      </c>
    </row>
    <row r="19" spans="1:35" x14ac:dyDescent="0.25">
      <c r="A19" s="22">
        <v>14</v>
      </c>
      <c r="B19" s="4">
        <f t="shared" si="3"/>
        <v>399</v>
      </c>
      <c r="C19" s="4" t="str">
        <f t="shared" si="0"/>
        <v>Academic</v>
      </c>
      <c r="D19" t="str">
        <f t="shared" si="4"/>
        <v>FY 1901</v>
      </c>
      <c r="E19" t="e">
        <f>IF(OR(D19=#REF!,D19=$T$1,D19=$U$1),D19,IF(RIGHT(D19,4)&gt;RIGHT($U$1,4),$U$1,IF(D19="","",#REF!)))</f>
        <v>#REF!</v>
      </c>
      <c r="F19" t="str">
        <f t="shared" si="7"/>
        <v>AY 1900-1901</v>
      </c>
      <c r="G19" s="2" t="str">
        <f t="shared" si="1"/>
        <v/>
      </c>
      <c r="H19" s="2" t="str">
        <f t="shared" si="1"/>
        <v/>
      </c>
      <c r="I19" s="2" t="str">
        <f t="shared" si="1"/>
        <v/>
      </c>
      <c r="J19" s="2" t="str">
        <f t="shared" si="5"/>
        <v>Year 2</v>
      </c>
      <c r="K19" s="5" t="str">
        <f t="shared" si="13"/>
        <v/>
      </c>
      <c r="L19" s="5" t="str">
        <f t="shared" si="13"/>
        <v/>
      </c>
      <c r="M19" s="5" t="str">
        <f t="shared" si="13"/>
        <v/>
      </c>
      <c r="N19" s="5" t="str">
        <f t="shared" si="13"/>
        <v/>
      </c>
      <c r="O19" s="5" t="str">
        <f t="shared" si="13"/>
        <v/>
      </c>
      <c r="P19" s="5" t="str">
        <f t="shared" si="13"/>
        <v/>
      </c>
      <c r="Q19" s="5" t="str">
        <f t="shared" si="13"/>
        <v/>
      </c>
      <c r="S19" s="21" t="s">
        <v>94</v>
      </c>
      <c r="T19">
        <f>COUNTIF($E$6:$E$17, S19)</f>
        <v>0</v>
      </c>
      <c r="U19">
        <f>COUNTIF($E$18:$E$29, $S19)</f>
        <v>0</v>
      </c>
      <c r="V19">
        <f>COUNTIF($E$30:$E$41, $S19)</f>
        <v>0</v>
      </c>
      <c r="W19">
        <f>COUNTIF($E$42:$E$53, $S19)</f>
        <v>0</v>
      </c>
      <c r="X19">
        <f>COUNTIF($E$54:$E$65, $S19)</f>
        <v>0</v>
      </c>
      <c r="AA19" t="s">
        <v>70</v>
      </c>
      <c r="AB19" s="2">
        <f>AB7/9</f>
        <v>428.56666666666666</v>
      </c>
      <c r="AC19" s="2">
        <f>AC7/12</f>
        <v>156.5</v>
      </c>
      <c r="AD19" s="2">
        <f>AD7/9</f>
        <v>76.666666666666671</v>
      </c>
      <c r="AF19" s="21" t="s">
        <v>203</v>
      </c>
      <c r="AG19" s="21" t="s">
        <v>204</v>
      </c>
      <c r="AH19" s="21" t="s">
        <v>205</v>
      </c>
      <c r="AI19" s="21" t="s">
        <v>206</v>
      </c>
    </row>
    <row r="20" spans="1:35" x14ac:dyDescent="0.25">
      <c r="A20" s="22">
        <v>15</v>
      </c>
      <c r="B20" s="4">
        <f t="shared" si="3"/>
        <v>427</v>
      </c>
      <c r="C20" s="4" t="str">
        <f t="shared" si="0"/>
        <v>Academic</v>
      </c>
      <c r="D20" t="str">
        <f t="shared" si="4"/>
        <v>FY 1901</v>
      </c>
      <c r="E20" t="e">
        <f>IF(OR(D20=#REF!,D20=$T$1,D20=$U$1),D20,IF(RIGHT(D20,4)&gt;RIGHT($U$1,4),$U$1,IF(D20="","",#REF!)))</f>
        <v>#REF!</v>
      </c>
      <c r="F20" t="str">
        <f t="shared" si="7"/>
        <v>AY 1900-1901</v>
      </c>
      <c r="G20" s="2" t="str">
        <f t="shared" si="1"/>
        <v/>
      </c>
      <c r="H20" s="2" t="str">
        <f t="shared" si="1"/>
        <v/>
      </c>
      <c r="I20" s="2" t="str">
        <f t="shared" si="1"/>
        <v/>
      </c>
      <c r="J20" s="2" t="str">
        <f t="shared" si="5"/>
        <v>Year 2</v>
      </c>
      <c r="K20" s="5" t="str">
        <f t="shared" si="13"/>
        <v/>
      </c>
      <c r="L20" s="5" t="str">
        <f t="shared" si="13"/>
        <v/>
      </c>
      <c r="M20" s="5" t="str">
        <f t="shared" si="13"/>
        <v/>
      </c>
      <c r="N20" s="5" t="str">
        <f t="shared" si="13"/>
        <v/>
      </c>
      <c r="O20" s="5" t="str">
        <f t="shared" si="13"/>
        <v/>
      </c>
      <c r="P20" s="5" t="str">
        <f t="shared" si="13"/>
        <v/>
      </c>
      <c r="Q20" s="5" t="str">
        <f t="shared" si="13"/>
        <v/>
      </c>
      <c r="S20" s="21" t="s">
        <v>112</v>
      </c>
      <c r="T20" t="b">
        <f>IF(COUNTIF(T15:T19,"&gt;0")&gt;1,TRUE,FALSE)</f>
        <v>0</v>
      </c>
      <c r="U20" t="b">
        <f>IF(COUNTIF(U15:U19,"&gt;0")&gt;1,TRUE,FALSE)</f>
        <v>0</v>
      </c>
      <c r="V20" t="b">
        <f>IF(COUNTIF(V15:V19,"&gt;0")&gt;1,TRUE,FALSE)</f>
        <v>0</v>
      </c>
      <c r="W20" t="b">
        <f>IF(COUNTIF(W15:W19,"&gt;0")&gt;1,TRUE,FALSE)</f>
        <v>0</v>
      </c>
      <c r="X20" t="b">
        <f>IF(COUNTIF(X15:X19,"&gt;0")&gt;1,TRUE,FALSE)</f>
        <v>0</v>
      </c>
      <c r="AA20" t="s">
        <v>81</v>
      </c>
      <c r="AB20" s="2">
        <f>0</f>
        <v>0</v>
      </c>
      <c r="AC20" s="2">
        <f>AC19</f>
        <v>156.5</v>
      </c>
      <c r="AD20" s="2">
        <f>0</f>
        <v>0</v>
      </c>
      <c r="AF20" t="s">
        <v>120</v>
      </c>
      <c r="AG20" t="s">
        <v>207</v>
      </c>
      <c r="AH20" t="s">
        <v>220</v>
      </c>
      <c r="AI20" t="s">
        <v>221</v>
      </c>
    </row>
    <row r="21" spans="1:35" x14ac:dyDescent="0.25">
      <c r="A21" s="22">
        <v>16</v>
      </c>
      <c r="B21" s="4">
        <f t="shared" si="3"/>
        <v>458</v>
      </c>
      <c r="C21" s="4" t="str">
        <f t="shared" si="0"/>
        <v>Academic</v>
      </c>
      <c r="D21" t="str">
        <f t="shared" si="4"/>
        <v>FY 1901</v>
      </c>
      <c r="E21" t="e">
        <f>IF(OR(D21=#REF!,D21=$T$1,D21=$U$1),D21,IF(RIGHT(D21,4)&gt;RIGHT($U$1,4),$U$1,IF(D21="","",#REF!)))</f>
        <v>#REF!</v>
      </c>
      <c r="F21" t="str">
        <f t="shared" si="7"/>
        <v>AY 1900-1901</v>
      </c>
      <c r="G21" s="2" t="str">
        <f t="shared" si="1"/>
        <v/>
      </c>
      <c r="H21" s="2" t="str">
        <f t="shared" si="1"/>
        <v/>
      </c>
      <c r="I21" s="2" t="str">
        <f t="shared" si="1"/>
        <v/>
      </c>
      <c r="J21" s="2" t="str">
        <f t="shared" si="5"/>
        <v>Year 2</v>
      </c>
      <c r="K21" s="5" t="str">
        <f t="shared" si="13"/>
        <v/>
      </c>
      <c r="L21" s="5" t="str">
        <f t="shared" si="13"/>
        <v/>
      </c>
      <c r="M21" s="5" t="str">
        <f t="shared" si="13"/>
        <v/>
      </c>
      <c r="N21" s="5" t="str">
        <f t="shared" si="13"/>
        <v/>
      </c>
      <c r="O21" s="5" t="str">
        <f t="shared" si="13"/>
        <v/>
      </c>
      <c r="P21" s="5" t="str">
        <f t="shared" si="13"/>
        <v/>
      </c>
      <c r="Q21" s="5" t="str">
        <f t="shared" si="13"/>
        <v/>
      </c>
      <c r="AA21" t="s">
        <v>71</v>
      </c>
      <c r="AB21" s="2">
        <f>AB8/9</f>
        <v>445.46666666666664</v>
      </c>
      <c r="AC21" s="2">
        <f>AC8/12</f>
        <v>169.75</v>
      </c>
      <c r="AD21" s="2">
        <f>AD8/9</f>
        <v>78.888888888888886</v>
      </c>
      <c r="AF21" t="s">
        <v>177</v>
      </c>
      <c r="AH21" t="s">
        <v>220</v>
      </c>
      <c r="AI21" t="s">
        <v>221</v>
      </c>
    </row>
    <row r="22" spans="1:35" x14ac:dyDescent="0.25">
      <c r="A22" s="22">
        <v>17</v>
      </c>
      <c r="B22" s="4">
        <f t="shared" si="3"/>
        <v>488</v>
      </c>
      <c r="C22" s="4" t="str">
        <f t="shared" si="0"/>
        <v>Academic</v>
      </c>
      <c r="D22" t="str">
        <f t="shared" si="4"/>
        <v>FY 1901</v>
      </c>
      <c r="E22" t="e">
        <f>IF(OR(D22=#REF!,D22=$T$1,D22=$U$1),D22,IF(RIGHT(D22,4)&gt;RIGHT($U$1,4),$U$1,IF(D22="","",#REF!)))</f>
        <v>#REF!</v>
      </c>
      <c r="F22" t="str">
        <f t="shared" si="7"/>
        <v>AY 1900-1901</v>
      </c>
      <c r="G22" s="2" t="str">
        <f t="shared" si="1"/>
        <v/>
      </c>
      <c r="H22" s="2" t="str">
        <f t="shared" si="1"/>
        <v/>
      </c>
      <c r="I22" s="2" t="str">
        <f t="shared" si="1"/>
        <v/>
      </c>
      <c r="J22" s="2" t="str">
        <f t="shared" si="5"/>
        <v>Year 2</v>
      </c>
      <c r="K22" s="5" t="str">
        <f t="shared" si="13"/>
        <v/>
      </c>
      <c r="L22" s="5" t="str">
        <f t="shared" si="13"/>
        <v/>
      </c>
      <c r="M22" s="5" t="str">
        <f t="shared" si="13"/>
        <v/>
      </c>
      <c r="N22" s="5" t="str">
        <f t="shared" si="13"/>
        <v/>
      </c>
      <c r="O22" s="5" t="str">
        <f t="shared" si="13"/>
        <v/>
      </c>
      <c r="P22" s="5" t="str">
        <f t="shared" si="13"/>
        <v/>
      </c>
      <c r="Q22" s="5" t="str">
        <f t="shared" si="13"/>
        <v/>
      </c>
      <c r="T22" s="21" t="s">
        <v>90</v>
      </c>
      <c r="U22" s="21" t="s">
        <v>91</v>
      </c>
      <c r="V22" s="21" t="s">
        <v>92</v>
      </c>
      <c r="W22" s="21" t="s">
        <v>93</v>
      </c>
      <c r="X22" s="21" t="s">
        <v>94</v>
      </c>
      <c r="AA22" t="s">
        <v>82</v>
      </c>
      <c r="AB22" s="2">
        <f>0</f>
        <v>0</v>
      </c>
      <c r="AC22" s="2">
        <f>AC21</f>
        <v>169.75</v>
      </c>
      <c r="AD22" s="2">
        <f>0</f>
        <v>0</v>
      </c>
      <c r="AF22" t="s">
        <v>121</v>
      </c>
      <c r="AG22" t="s">
        <v>208</v>
      </c>
      <c r="AH22" t="s">
        <v>220</v>
      </c>
      <c r="AI22" t="s">
        <v>221</v>
      </c>
    </row>
    <row r="23" spans="1:35" x14ac:dyDescent="0.25">
      <c r="A23" s="22">
        <v>18</v>
      </c>
      <c r="B23" s="4">
        <f t="shared" si="3"/>
        <v>519</v>
      </c>
      <c r="C23" s="4" t="str">
        <f t="shared" si="0"/>
        <v>Summer</v>
      </c>
      <c r="D23" t="str">
        <f t="shared" si="4"/>
        <v>FY 1901</v>
      </c>
      <c r="E23" t="e">
        <f>IF(OR(D23=#REF!,D23=$T$1,D23=$U$1),D23,IF(RIGHT(D23,4)&gt;RIGHT($U$1,4),$U$1,IF(D23="","",#REF!)))</f>
        <v>#REF!</v>
      </c>
      <c r="F23" t="str">
        <f t="shared" si="7"/>
        <v>SU 1900-1901</v>
      </c>
      <c r="G23" s="2" t="str">
        <f t="shared" si="1"/>
        <v/>
      </c>
      <c r="H23" s="2" t="str">
        <f t="shared" si="1"/>
        <v/>
      </c>
      <c r="I23" s="2" t="str">
        <f t="shared" si="1"/>
        <v/>
      </c>
      <c r="J23" s="2" t="str">
        <f t="shared" si="5"/>
        <v>Year 2</v>
      </c>
      <c r="K23" s="5" t="str">
        <f t="shared" si="13"/>
        <v/>
      </c>
      <c r="L23" s="5" t="str">
        <f t="shared" si="13"/>
        <v/>
      </c>
      <c r="M23" s="5" t="str">
        <f t="shared" si="13"/>
        <v/>
      </c>
      <c r="N23" s="5" t="str">
        <f t="shared" si="13"/>
        <v/>
      </c>
      <c r="O23" s="5" t="str">
        <f t="shared" si="13"/>
        <v/>
      </c>
      <c r="P23" s="5" t="str">
        <f t="shared" si="13"/>
        <v/>
      </c>
      <c r="Q23" s="5" t="str">
        <f t="shared" si="13"/>
        <v/>
      </c>
      <c r="S23" s="21" t="s">
        <v>95</v>
      </c>
      <c r="T23" t="e">
        <f t="shared" ref="T23:X29" si="14">IF(RIGHT(T$22,4)&gt;RIGHT($U$1,4),INDEX($V$43:$X$55,MATCH($S23,$T$43:$T$55,0),MATCH($U$1,$V$42:$X$42,0)),INDEX($V$43:$X$55,MATCH($S23,$T$43:$T$55,0),MATCH(T$22,$V$42:$X$42,0)))</f>
        <v>#N/A</v>
      </c>
      <c r="U23">
        <f t="shared" si="14"/>
        <v>0.17</v>
      </c>
      <c r="V23">
        <f t="shared" si="14"/>
        <v>0.17</v>
      </c>
      <c r="W23">
        <f t="shared" si="14"/>
        <v>0.17</v>
      </c>
      <c r="X23">
        <f t="shared" si="14"/>
        <v>0.17</v>
      </c>
      <c r="AA23" t="s">
        <v>72</v>
      </c>
      <c r="AB23" s="2">
        <f>AB9/9</f>
        <v>463.28533333333337</v>
      </c>
      <c r="AC23" s="2">
        <f>AC9/12</f>
        <v>176.54</v>
      </c>
      <c r="AD23" s="2">
        <f>AD9/9</f>
        <v>82.044444444444437</v>
      </c>
      <c r="AF23" t="s">
        <v>122</v>
      </c>
      <c r="AG23" t="s">
        <v>209</v>
      </c>
      <c r="AH23" t="s">
        <v>220</v>
      </c>
      <c r="AI23" t="s">
        <v>221</v>
      </c>
    </row>
    <row r="24" spans="1:35" x14ac:dyDescent="0.25">
      <c r="A24" s="22">
        <v>19</v>
      </c>
      <c r="B24" s="4">
        <f t="shared" si="3"/>
        <v>549</v>
      </c>
      <c r="C24" s="4" t="str">
        <f t="shared" si="0"/>
        <v>Summer</v>
      </c>
      <c r="D24" t="str">
        <f t="shared" si="4"/>
        <v>FY 1902</v>
      </c>
      <c r="E24" t="e">
        <f>IF(OR(D24=#REF!,D24=$T$1,D24=$U$1),D24,IF(RIGHT(D24,4)&gt;RIGHT($U$1,4),$U$1,IF(D24="","",#REF!)))</f>
        <v>#REF!</v>
      </c>
      <c r="F24" t="str">
        <f t="shared" si="7"/>
        <v>SU 1900-1901</v>
      </c>
      <c r="G24" s="2" t="str">
        <f t="shared" si="1"/>
        <v/>
      </c>
      <c r="H24" s="2" t="str">
        <f t="shared" si="1"/>
        <v/>
      </c>
      <c r="I24" s="2" t="str">
        <f t="shared" si="1"/>
        <v/>
      </c>
      <c r="J24" s="2" t="str">
        <f t="shared" si="5"/>
        <v>Year 2</v>
      </c>
      <c r="K24" s="5" t="str">
        <f t="shared" si="13"/>
        <v/>
      </c>
      <c r="L24" s="5" t="str">
        <f t="shared" si="13"/>
        <v/>
      </c>
      <c r="M24" s="5" t="str">
        <f t="shared" si="13"/>
        <v/>
      </c>
      <c r="N24" s="5" t="str">
        <f t="shared" si="13"/>
        <v/>
      </c>
      <c r="O24" s="5" t="str">
        <f t="shared" si="13"/>
        <v/>
      </c>
      <c r="P24" s="5" t="str">
        <f t="shared" si="13"/>
        <v/>
      </c>
      <c r="Q24" s="5" t="str">
        <f t="shared" si="13"/>
        <v/>
      </c>
      <c r="S24" s="21" t="s">
        <v>99</v>
      </c>
      <c r="T24" t="e">
        <f t="shared" si="14"/>
        <v>#N/A</v>
      </c>
      <c r="U24" t="e">
        <f t="shared" si="14"/>
        <v>#REF!</v>
      </c>
      <c r="V24">
        <f t="shared" si="14"/>
        <v>0.255</v>
      </c>
      <c r="W24">
        <f t="shared" si="14"/>
        <v>0.255</v>
      </c>
      <c r="X24">
        <f t="shared" si="14"/>
        <v>0.255</v>
      </c>
      <c r="Y24" s="3"/>
      <c r="AA24" t="s">
        <v>83</v>
      </c>
      <c r="AB24" s="2">
        <f>0</f>
        <v>0</v>
      </c>
      <c r="AC24" s="2">
        <f>AC23</f>
        <v>176.54</v>
      </c>
      <c r="AD24" s="2">
        <f>0</f>
        <v>0</v>
      </c>
      <c r="AF24" t="s">
        <v>123</v>
      </c>
      <c r="AG24" t="s">
        <v>210</v>
      </c>
      <c r="AH24" t="s">
        <v>220</v>
      </c>
      <c r="AI24" t="s">
        <v>221</v>
      </c>
    </row>
    <row r="25" spans="1:35" x14ac:dyDescent="0.25">
      <c r="A25" s="22">
        <v>20</v>
      </c>
      <c r="B25" s="4">
        <f t="shared" si="3"/>
        <v>580</v>
      </c>
      <c r="C25" s="4" t="str">
        <f t="shared" si="0"/>
        <v>Summer</v>
      </c>
      <c r="D25" t="str">
        <f t="shared" si="4"/>
        <v>FY 1902</v>
      </c>
      <c r="E25" t="e">
        <f>IF(OR(D25=#REF!,D25=$T$1,D25=$U$1),D25,IF(RIGHT(D25,4)&gt;RIGHT($U$1,4),$U$1,IF(D25="","",#REF!)))</f>
        <v>#REF!</v>
      </c>
      <c r="F25" t="str">
        <f t="shared" si="7"/>
        <v>SU 1900-1901</v>
      </c>
      <c r="G25" s="2" t="str">
        <f t="shared" si="1"/>
        <v/>
      </c>
      <c r="H25" s="2" t="str">
        <f t="shared" si="1"/>
        <v/>
      </c>
      <c r="I25" s="2" t="str">
        <f t="shared" si="1"/>
        <v/>
      </c>
      <c r="J25" s="2" t="str">
        <f t="shared" si="5"/>
        <v>Year 2</v>
      </c>
      <c r="K25" s="5" t="str">
        <f t="shared" si="13"/>
        <v/>
      </c>
      <c r="L25" s="5" t="str">
        <f t="shared" si="13"/>
        <v/>
      </c>
      <c r="M25" s="5" t="str">
        <f t="shared" si="13"/>
        <v/>
      </c>
      <c r="N25" s="5" t="str">
        <f t="shared" si="13"/>
        <v/>
      </c>
      <c r="O25" s="5" t="str">
        <f t="shared" si="13"/>
        <v/>
      </c>
      <c r="P25" s="5" t="str">
        <f t="shared" si="13"/>
        <v/>
      </c>
      <c r="Q25" s="5" t="str">
        <f t="shared" si="13"/>
        <v/>
      </c>
      <c r="S25" s="21" t="s">
        <v>108</v>
      </c>
      <c r="T25" t="e">
        <f t="shared" si="14"/>
        <v>#N/A</v>
      </c>
      <c r="U25">
        <f t="shared" si="14"/>
        <v>0.08</v>
      </c>
      <c r="V25">
        <f t="shared" si="14"/>
        <v>8.3000000000000004E-2</v>
      </c>
      <c r="W25">
        <f t="shared" si="14"/>
        <v>8.3000000000000004E-2</v>
      </c>
      <c r="X25">
        <f t="shared" si="14"/>
        <v>8.3000000000000004E-2</v>
      </c>
      <c r="Y25" s="3"/>
      <c r="AA25" t="s">
        <v>73</v>
      </c>
      <c r="AB25" s="2">
        <f>AB10/9</f>
        <v>481.81674666666669</v>
      </c>
      <c r="AC25" s="2">
        <f>AC10/12</f>
        <v>183.60159999999999</v>
      </c>
      <c r="AD25" s="2">
        <f>AD10/9</f>
        <v>85.326222222222228</v>
      </c>
      <c r="AF25" t="s">
        <v>124</v>
      </c>
      <c r="AG25" t="s">
        <v>211</v>
      </c>
      <c r="AH25" t="s">
        <v>220</v>
      </c>
      <c r="AI25" t="s">
        <v>221</v>
      </c>
    </row>
    <row r="26" spans="1:35" x14ac:dyDescent="0.25">
      <c r="A26" s="22">
        <v>21</v>
      </c>
      <c r="B26" s="4">
        <f t="shared" si="3"/>
        <v>611</v>
      </c>
      <c r="C26" s="4" t="str">
        <f t="shared" si="0"/>
        <v>Academic</v>
      </c>
      <c r="D26" t="str">
        <f t="shared" si="4"/>
        <v>FY 1902</v>
      </c>
      <c r="E26" t="e">
        <f>IF(OR(D26=#REF!,D26=$T$1,D26=$U$1),D26,IF(RIGHT(D26,4)&gt;RIGHT($U$1,4),$U$1,IF(D26="","",#REF!)))</f>
        <v>#REF!</v>
      </c>
      <c r="F26" t="str">
        <f t="shared" si="7"/>
        <v>AY 1901-1902</v>
      </c>
      <c r="G26" s="2" t="str">
        <f t="shared" ref="G26:I45" si="15">IF(ISERROR(INDEX($AB$17:$AD$34, MATCH($F26,$AA$17:$AA$34,0), MATCH(G$5,$AB$16:$AD$16,0))),"",INDEX($AB$17:$AD$34, MATCH($F26,$AA$17:$AA$34,0), MATCH(G$5,$AB$16:$AD$16,0)))</f>
        <v/>
      </c>
      <c r="H26" s="2" t="str">
        <f t="shared" si="15"/>
        <v/>
      </c>
      <c r="I26" s="2" t="str">
        <f t="shared" si="15"/>
        <v/>
      </c>
      <c r="J26" s="2" t="str">
        <f t="shared" si="5"/>
        <v>Year 2</v>
      </c>
      <c r="K26" s="5" t="str">
        <f t="shared" ref="K26:Q35" si="16">IF(ISERROR(IF(RIGHT($E26,4)&gt;RIGHT($U$1,4),INDEX($V$43:$X$55,MATCH(K$5,$T$43:$T$55,0),MATCH($U$1,$V$42:$X$42,0)),INDEX($V$43:$X$55,MATCH(K$5,$T$43:$T$55,0),MATCH($E26,$V$42:$X$42,0)))),"",
IF(OR(K$5="FTS",K$5="PTU",K$5="PTS",K$5="PTG"),
IF($C26="Summer",
IF(RIGHT($E26,4)&gt;RIGHT($U$1,4),INDEX($V$43:$X$55,MATCH(K$5,$T$43:$T$55,0),MATCH($U$1,$V$42:$X$42,0)),INDEX($V$43:$X$55,MATCH(K$5,$T$43:$T$55,0),MATCH($E26,$V$42:$X$42,0))),0),IF(RIGHT($E26,4)&gt;RIGHT($U$1,4),INDEX($V$43:$X$55,MATCH(K$5,$T$43:$T$55,0),MATCH($U$1,$V$42:$X$42,0)),INDEX($V$43:$X$55,MATCH(K$5,$T$43:$T$55,0),MATCH($E26,$V$42:$X$42,0)))))</f>
        <v/>
      </c>
      <c r="L26" s="5" t="str">
        <f t="shared" si="16"/>
        <v/>
      </c>
      <c r="M26" s="5" t="str">
        <f t="shared" si="16"/>
        <v/>
      </c>
      <c r="N26" s="5" t="str">
        <f t="shared" si="16"/>
        <v/>
      </c>
      <c r="O26" s="5" t="str">
        <f t="shared" si="16"/>
        <v/>
      </c>
      <c r="P26" s="5" t="str">
        <f t="shared" si="16"/>
        <v/>
      </c>
      <c r="Q26" s="5" t="str">
        <f t="shared" si="16"/>
        <v/>
      </c>
      <c r="S26" s="21" t="s">
        <v>157</v>
      </c>
      <c r="T26" t="e">
        <f t="shared" si="14"/>
        <v>#N/A</v>
      </c>
      <c r="U26">
        <f t="shared" si="14"/>
        <v>0</v>
      </c>
      <c r="V26">
        <f t="shared" si="14"/>
        <v>0</v>
      </c>
      <c r="W26">
        <f t="shared" si="14"/>
        <v>0</v>
      </c>
      <c r="X26">
        <f t="shared" si="14"/>
        <v>0</v>
      </c>
      <c r="AA26" t="s">
        <v>84</v>
      </c>
      <c r="AB26" s="2">
        <f>0</f>
        <v>0</v>
      </c>
      <c r="AC26" s="2">
        <f>AC25</f>
        <v>183.60159999999999</v>
      </c>
      <c r="AD26" s="2">
        <f>0</f>
        <v>0</v>
      </c>
      <c r="AF26" t="s">
        <v>125</v>
      </c>
      <c r="AG26" t="s">
        <v>212</v>
      </c>
      <c r="AH26" t="s">
        <v>220</v>
      </c>
      <c r="AI26" t="s">
        <v>221</v>
      </c>
    </row>
    <row r="27" spans="1:35" x14ac:dyDescent="0.25">
      <c r="A27" s="22">
        <v>22</v>
      </c>
      <c r="B27" s="4">
        <f t="shared" si="3"/>
        <v>641</v>
      </c>
      <c r="C27" s="4" t="str">
        <f t="shared" si="0"/>
        <v>Academic</v>
      </c>
      <c r="D27" t="str">
        <f t="shared" si="4"/>
        <v>FY 1902</v>
      </c>
      <c r="E27" t="e">
        <f>IF(OR(D27=#REF!,D27=$T$1,D27=$U$1),D27,IF(RIGHT(D27,4)&gt;RIGHT($U$1,4),$U$1,IF(D27="","",#REF!)))</f>
        <v>#REF!</v>
      </c>
      <c r="F27" t="str">
        <f t="shared" si="7"/>
        <v>AY 1901-1902</v>
      </c>
      <c r="G27" s="2" t="str">
        <f t="shared" si="15"/>
        <v/>
      </c>
      <c r="H27" s="2" t="str">
        <f t="shared" si="15"/>
        <v/>
      </c>
      <c r="I27" s="2" t="str">
        <f t="shared" si="15"/>
        <v/>
      </c>
      <c r="J27" s="2" t="str">
        <f t="shared" si="5"/>
        <v>Year 2</v>
      </c>
      <c r="K27" s="5" t="str">
        <f t="shared" si="16"/>
        <v/>
      </c>
      <c r="L27" s="5" t="str">
        <f t="shared" si="16"/>
        <v/>
      </c>
      <c r="M27" s="5" t="str">
        <f t="shared" si="16"/>
        <v/>
      </c>
      <c r="N27" s="5" t="str">
        <f t="shared" si="16"/>
        <v/>
      </c>
      <c r="O27" s="5" t="str">
        <f t="shared" si="16"/>
        <v/>
      </c>
      <c r="P27" s="5" t="str">
        <f t="shared" si="16"/>
        <v/>
      </c>
      <c r="Q27" s="5" t="str">
        <f t="shared" si="16"/>
        <v/>
      </c>
      <c r="S27" s="21" t="s">
        <v>107</v>
      </c>
      <c r="T27" t="e">
        <f t="shared" si="14"/>
        <v>#N/A</v>
      </c>
      <c r="U27">
        <f t="shared" si="14"/>
        <v>0.08</v>
      </c>
      <c r="V27">
        <f t="shared" si="14"/>
        <v>8.3000000000000004E-2</v>
      </c>
      <c r="W27">
        <f t="shared" si="14"/>
        <v>8.3000000000000004E-2</v>
      </c>
      <c r="X27">
        <f t="shared" si="14"/>
        <v>8.3000000000000004E-2</v>
      </c>
      <c r="AA27" t="s">
        <v>74</v>
      </c>
      <c r="AB27" s="2">
        <f>AB11/9</f>
        <v>501.08941653333335</v>
      </c>
      <c r="AC27" s="2">
        <f>AC11/12</f>
        <v>190.94566399999999</v>
      </c>
      <c r="AD27" s="2">
        <f>AD11/9</f>
        <v>88.739271111111123</v>
      </c>
      <c r="AF27" t="s">
        <v>178</v>
      </c>
      <c r="AH27" t="s">
        <v>220</v>
      </c>
      <c r="AI27" t="s">
        <v>221</v>
      </c>
    </row>
    <row r="28" spans="1:35" x14ac:dyDescent="0.25">
      <c r="A28" s="22">
        <v>23</v>
      </c>
      <c r="B28" s="4">
        <f t="shared" si="3"/>
        <v>672</v>
      </c>
      <c r="C28" s="4" t="str">
        <f t="shared" si="0"/>
        <v>Academic</v>
      </c>
      <c r="D28" t="str">
        <f t="shared" si="4"/>
        <v>FY 1902</v>
      </c>
      <c r="E28" t="e">
        <f>IF(OR(D28=#REF!,D28=$T$1,D28=$U$1),D28,IF(RIGHT(D28,4)&gt;RIGHT($U$1,4),$U$1,IF(D28="","",#REF!)))</f>
        <v>#REF!</v>
      </c>
      <c r="F28" t="str">
        <f t="shared" si="7"/>
        <v>AY 1901-1902</v>
      </c>
      <c r="G28" s="2" t="str">
        <f t="shared" si="15"/>
        <v/>
      </c>
      <c r="H28" s="2" t="str">
        <f t="shared" si="15"/>
        <v/>
      </c>
      <c r="I28" s="2" t="str">
        <f t="shared" si="15"/>
        <v/>
      </c>
      <c r="J28" s="2" t="str">
        <f t="shared" si="5"/>
        <v>Year 2</v>
      </c>
      <c r="K28" s="5" t="str">
        <f t="shared" si="16"/>
        <v/>
      </c>
      <c r="L28" s="5" t="str">
        <f t="shared" si="16"/>
        <v/>
      </c>
      <c r="M28" s="5" t="str">
        <f t="shared" si="16"/>
        <v/>
      </c>
      <c r="N28" s="5" t="str">
        <f t="shared" si="16"/>
        <v/>
      </c>
      <c r="O28" s="5" t="str">
        <f t="shared" si="16"/>
        <v/>
      </c>
      <c r="P28" s="5" t="str">
        <f t="shared" si="16"/>
        <v/>
      </c>
      <c r="Q28" s="5" t="str">
        <f t="shared" si="16"/>
        <v/>
      </c>
      <c r="S28" s="21" t="s">
        <v>96</v>
      </c>
      <c r="T28" t="e">
        <f t="shared" si="14"/>
        <v>#N/A</v>
      </c>
      <c r="U28">
        <f t="shared" si="14"/>
        <v>0.08</v>
      </c>
      <c r="V28">
        <f t="shared" si="14"/>
        <v>8.3000000000000004E-2</v>
      </c>
      <c r="W28">
        <f t="shared" si="14"/>
        <v>8.3000000000000004E-2</v>
      </c>
      <c r="X28">
        <f t="shared" si="14"/>
        <v>8.3000000000000004E-2</v>
      </c>
      <c r="AA28" t="s">
        <v>85</v>
      </c>
      <c r="AB28" s="2">
        <f>0</f>
        <v>0</v>
      </c>
      <c r="AC28" s="2">
        <f>AC27</f>
        <v>190.94566399999999</v>
      </c>
      <c r="AD28" s="2">
        <f>0</f>
        <v>0</v>
      </c>
      <c r="AF28" t="s">
        <v>126</v>
      </c>
      <c r="AG28" t="s">
        <v>213</v>
      </c>
      <c r="AH28" t="s">
        <v>220</v>
      </c>
      <c r="AI28" t="s">
        <v>221</v>
      </c>
    </row>
    <row r="29" spans="1:35" x14ac:dyDescent="0.25">
      <c r="A29" s="22">
        <v>24</v>
      </c>
      <c r="B29" s="4">
        <f t="shared" si="3"/>
        <v>702</v>
      </c>
      <c r="C29" s="4" t="str">
        <f t="shared" si="0"/>
        <v>Academic</v>
      </c>
      <c r="D29" t="str">
        <f t="shared" si="4"/>
        <v>FY 1902</v>
      </c>
      <c r="E29" t="e">
        <f>IF(OR(D29=#REF!,D29=$T$1,D29=$U$1),D29,IF(RIGHT(D29,4)&gt;RIGHT($U$1,4),$U$1,IF(D29="","",#REF!)))</f>
        <v>#REF!</v>
      </c>
      <c r="F29" t="str">
        <f t="shared" si="7"/>
        <v>AY 1901-1902</v>
      </c>
      <c r="G29" s="2" t="str">
        <f t="shared" si="15"/>
        <v/>
      </c>
      <c r="H29" s="2" t="str">
        <f t="shared" si="15"/>
        <v/>
      </c>
      <c r="I29" s="2" t="str">
        <f t="shared" si="15"/>
        <v/>
      </c>
      <c r="J29" s="2" t="str">
        <f t="shared" si="5"/>
        <v>Year 2</v>
      </c>
      <c r="K29" s="5" t="str">
        <f t="shared" si="16"/>
        <v/>
      </c>
      <c r="L29" s="5" t="str">
        <f t="shared" si="16"/>
        <v/>
      </c>
      <c r="M29" s="5" t="str">
        <f t="shared" si="16"/>
        <v/>
      </c>
      <c r="N29" s="5" t="str">
        <f t="shared" si="16"/>
        <v/>
      </c>
      <c r="O29" s="5" t="str">
        <f t="shared" si="16"/>
        <v/>
      </c>
      <c r="P29" s="5" t="str">
        <f t="shared" si="16"/>
        <v/>
      </c>
      <c r="Q29" s="5" t="str">
        <f t="shared" si="16"/>
        <v/>
      </c>
      <c r="S29" s="21" t="s">
        <v>100</v>
      </c>
      <c r="T29" t="e">
        <f t="shared" si="14"/>
        <v>#N/A</v>
      </c>
      <c r="U29">
        <f t="shared" si="14"/>
        <v>0.18</v>
      </c>
      <c r="V29">
        <f t="shared" si="14"/>
        <v>0.17799999999999999</v>
      </c>
      <c r="W29">
        <f t="shared" si="14"/>
        <v>0.17799999999999999</v>
      </c>
      <c r="X29">
        <f t="shared" si="14"/>
        <v>0.17799999999999999</v>
      </c>
      <c r="AA29" t="s">
        <v>75</v>
      </c>
      <c r="AB29" s="2">
        <f>AB12/9</f>
        <v>521.13299319466671</v>
      </c>
      <c r="AC29" s="2">
        <f>AC12/12</f>
        <v>198.58349056</v>
      </c>
      <c r="AD29" s="2">
        <f>AD12/9</f>
        <v>92.288841955555569</v>
      </c>
      <c r="AF29" t="s">
        <v>127</v>
      </c>
      <c r="AG29" t="s">
        <v>214</v>
      </c>
      <c r="AH29" t="s">
        <v>220</v>
      </c>
      <c r="AI29" t="s">
        <v>221</v>
      </c>
    </row>
    <row r="30" spans="1:35" x14ac:dyDescent="0.25">
      <c r="A30" s="22">
        <v>25</v>
      </c>
      <c r="B30" s="4">
        <f t="shared" si="3"/>
        <v>733</v>
      </c>
      <c r="C30" s="4" t="str">
        <f t="shared" si="0"/>
        <v>Academic</v>
      </c>
      <c r="D30" t="str">
        <f t="shared" si="4"/>
        <v>FY 1902</v>
      </c>
      <c r="E30" t="e">
        <f>IF(OR(D30=#REF!,D30=$T$1,D30=$U$1),D30,IF(RIGHT(D30,4)&gt;RIGHT($U$1,4),$U$1,IF(D30="","",#REF!)))</f>
        <v>#REF!</v>
      </c>
      <c r="F30" t="str">
        <f t="shared" si="7"/>
        <v>AY 1901-1902</v>
      </c>
      <c r="G30" s="2" t="str">
        <f t="shared" si="15"/>
        <v/>
      </c>
      <c r="H30" s="2" t="str">
        <f t="shared" si="15"/>
        <v/>
      </c>
      <c r="I30" s="2" t="str">
        <f t="shared" si="15"/>
        <v/>
      </c>
      <c r="J30" s="2" t="str">
        <f t="shared" si="5"/>
        <v>Year 3</v>
      </c>
      <c r="K30" s="5" t="str">
        <f t="shared" si="16"/>
        <v/>
      </c>
      <c r="L30" s="5" t="str">
        <f t="shared" si="16"/>
        <v/>
      </c>
      <c r="M30" s="5" t="str">
        <f t="shared" si="16"/>
        <v/>
      </c>
      <c r="N30" s="5" t="str">
        <f t="shared" si="16"/>
        <v/>
      </c>
      <c r="O30" s="5" t="str">
        <f t="shared" si="16"/>
        <v/>
      </c>
      <c r="P30" s="5" t="str">
        <f t="shared" si="16"/>
        <v/>
      </c>
      <c r="Q30" s="5" t="str">
        <f t="shared" si="16"/>
        <v/>
      </c>
      <c r="S30" s="21" t="s">
        <v>146</v>
      </c>
      <c r="T30" t="e">
        <f>IF(RIGHT(T$22,4)&gt;RIGHT($U$1,4),INDEX($V$43:$X$56,MATCH($S30,$T$43:$T$56,0),MATCH($U$1,$V$42:$X$42,0)),INDEX($V$43:$X$56,MATCH($S30,$T$43:$T$56,0),MATCH(T$22,$V$42:$X$42,0)))</f>
        <v>#N/A</v>
      </c>
      <c r="U30">
        <f>IF(RIGHT(U$22,4)&gt;RIGHT($U$1,4),INDEX($V$43:$X$56,MATCH($S30,$T$43:$T$56,0),MATCH($U$1,$V$42:$X$42,0)),INDEX($V$43:$X$56,MATCH($S30,$T$43:$T$56,0),MATCH(U$22,$V$42:$X$42,0)))</f>
        <v>0</v>
      </c>
      <c r="V30">
        <f>IF(RIGHT(V$22,4)&gt;RIGHT($U$1,4),INDEX($V$43:$X$56,MATCH($S30,$T$43:$T$56,0),MATCH($U$1,$V$42:$X$42,0)),INDEX($V$43:$X$56,MATCH($S30,$T$43:$T$56,0),MATCH(V$22,$V$42:$X$42,0)))</f>
        <v>0</v>
      </c>
      <c r="W30">
        <f>IF(RIGHT(W$22,4)&gt;RIGHT($U$1,4),INDEX($V$43:$X$56,MATCH($S30,$T$43:$T$56,0),MATCH($U$1,$V$42:$X$42,0)),INDEX($V$43:$X$56,MATCH($S30,$T$43:$T$56,0),MATCH(W$22,$V$42:$X$42,0)))</f>
        <v>0</v>
      </c>
      <c r="X30">
        <f>IF(RIGHT(X$22,4)&gt;RIGHT($U$1,4),INDEX($V$43:$X$56,MATCH($S30,$T$43:$T$56,0),MATCH($U$1,$V$42:$X$42,0)),INDEX($V$43:$X$56,MATCH($S30,$T$43:$T$56,0),MATCH(X$22,$V$42:$X$42,0)))</f>
        <v>0</v>
      </c>
      <c r="AA30" t="s">
        <v>86</v>
      </c>
      <c r="AB30" s="2">
        <f>0</f>
        <v>0</v>
      </c>
      <c r="AC30" s="2">
        <f>AC29</f>
        <v>198.58349056</v>
      </c>
      <c r="AD30" s="2">
        <f>0</f>
        <v>0</v>
      </c>
      <c r="AF30" t="s">
        <v>128</v>
      </c>
      <c r="AG30" t="s">
        <v>215</v>
      </c>
      <c r="AH30" t="s">
        <v>220</v>
      </c>
      <c r="AI30" t="s">
        <v>221</v>
      </c>
    </row>
    <row r="31" spans="1:35" x14ac:dyDescent="0.25">
      <c r="A31" s="22">
        <v>26</v>
      </c>
      <c r="B31" s="4">
        <f t="shared" si="3"/>
        <v>764</v>
      </c>
      <c r="C31" s="4" t="str">
        <f t="shared" si="0"/>
        <v>Academic</v>
      </c>
      <c r="D31" t="str">
        <f t="shared" si="4"/>
        <v>FY 1902</v>
      </c>
      <c r="E31" t="e">
        <f>IF(OR(D31=#REF!,D31=$T$1,D31=$U$1),D31,IF(RIGHT(D31,4)&gt;RIGHT($U$1,4),$U$1,IF(D31="","",#REF!)))</f>
        <v>#REF!</v>
      </c>
      <c r="F31" t="str">
        <f t="shared" si="7"/>
        <v>AY 1901-1902</v>
      </c>
      <c r="G31" s="2" t="str">
        <f t="shared" si="15"/>
        <v/>
      </c>
      <c r="H31" s="2" t="str">
        <f t="shared" si="15"/>
        <v/>
      </c>
      <c r="I31" s="2" t="str">
        <f t="shared" si="15"/>
        <v/>
      </c>
      <c r="J31" s="2" t="str">
        <f t="shared" si="5"/>
        <v>Year 3</v>
      </c>
      <c r="K31" s="5" t="str">
        <f t="shared" si="16"/>
        <v/>
      </c>
      <c r="L31" s="5" t="str">
        <f t="shared" si="16"/>
        <v/>
      </c>
      <c r="M31" s="5" t="str">
        <f t="shared" si="16"/>
        <v/>
      </c>
      <c r="N31" s="5" t="str">
        <f t="shared" si="16"/>
        <v/>
      </c>
      <c r="O31" s="5" t="str">
        <f t="shared" si="16"/>
        <v/>
      </c>
      <c r="P31" s="5" t="str">
        <f t="shared" si="16"/>
        <v/>
      </c>
      <c r="Q31" s="5" t="str">
        <f t="shared" si="16"/>
        <v/>
      </c>
      <c r="AA31" t="s">
        <v>76</v>
      </c>
      <c r="AB31" s="2">
        <f>AB13/9</f>
        <v>541.97831292245337</v>
      </c>
      <c r="AC31" s="2">
        <f>AC13/12</f>
        <v>206.5268301824</v>
      </c>
      <c r="AD31" s="2">
        <f>AD13/9</f>
        <v>95.980395633777789</v>
      </c>
      <c r="AF31" t="s">
        <v>129</v>
      </c>
      <c r="AG31" t="s">
        <v>216</v>
      </c>
      <c r="AH31" t="s">
        <v>220</v>
      </c>
      <c r="AI31" t="s">
        <v>221</v>
      </c>
    </row>
    <row r="32" spans="1:35" x14ac:dyDescent="0.25">
      <c r="A32" s="22">
        <v>27</v>
      </c>
      <c r="B32" s="4">
        <f t="shared" si="3"/>
        <v>792</v>
      </c>
      <c r="C32" s="4" t="str">
        <f t="shared" si="0"/>
        <v>Academic</v>
      </c>
      <c r="D32" t="str">
        <f t="shared" si="4"/>
        <v>FY 1902</v>
      </c>
      <c r="E32" t="e">
        <f>IF(OR(D32=#REF!,D32=$T$1,D32=$U$1),D32,IF(RIGHT(D32,4)&gt;RIGHT($U$1,4),$U$1,IF(D32="","",#REF!)))</f>
        <v>#REF!</v>
      </c>
      <c r="F32" t="str">
        <f t="shared" si="7"/>
        <v>AY 1901-1902</v>
      </c>
      <c r="G32" s="2" t="str">
        <f t="shared" si="15"/>
        <v/>
      </c>
      <c r="H32" s="2" t="str">
        <f t="shared" si="15"/>
        <v/>
      </c>
      <c r="I32" s="2" t="str">
        <f t="shared" si="15"/>
        <v/>
      </c>
      <c r="J32" s="2" t="str">
        <f t="shared" si="5"/>
        <v>Year 3</v>
      </c>
      <c r="K32" s="5" t="str">
        <f t="shared" si="16"/>
        <v/>
      </c>
      <c r="L32" s="5" t="str">
        <f t="shared" si="16"/>
        <v/>
      </c>
      <c r="M32" s="5" t="str">
        <f t="shared" si="16"/>
        <v/>
      </c>
      <c r="N32" s="5" t="str">
        <f t="shared" si="16"/>
        <v/>
      </c>
      <c r="O32" s="5" t="str">
        <f t="shared" si="16"/>
        <v/>
      </c>
      <c r="P32" s="5" t="str">
        <f t="shared" si="16"/>
        <v/>
      </c>
      <c r="Q32" s="5" t="str">
        <f t="shared" si="16"/>
        <v/>
      </c>
      <c r="S32" s="21" t="s">
        <v>111</v>
      </c>
      <c r="T32" s="21" t="str">
        <f>IF($H$2&gt;0,"Year 1","")</f>
        <v>Year 1</v>
      </c>
      <c r="U32" s="21" t="str">
        <f>IF($H$2&gt;12,"Year 2","")</f>
        <v>Year 2</v>
      </c>
      <c r="V32" s="21" t="str">
        <f>IF($H$2&gt;24,"Year 3","")</f>
        <v>Year 3</v>
      </c>
      <c r="W32" s="21" t="str">
        <f>IF($H$2&gt;36,"Year 4","")</f>
        <v>Year 4</v>
      </c>
      <c r="X32" s="21" t="str">
        <f>IF($H$2&gt;48,"Year 5","")</f>
        <v>Year 5</v>
      </c>
      <c r="AA32" t="s">
        <v>87</v>
      </c>
      <c r="AB32" s="2">
        <f>0</f>
        <v>0</v>
      </c>
      <c r="AC32" s="2">
        <f>AC31</f>
        <v>206.5268301824</v>
      </c>
      <c r="AD32" s="2">
        <f>0</f>
        <v>0</v>
      </c>
      <c r="AF32" t="s">
        <v>119</v>
      </c>
      <c r="AG32" t="s">
        <v>217</v>
      </c>
      <c r="AH32" t="s">
        <v>220</v>
      </c>
      <c r="AI32" t="s">
        <v>221</v>
      </c>
    </row>
    <row r="33" spans="1:36" x14ac:dyDescent="0.25">
      <c r="A33" s="22">
        <v>28</v>
      </c>
      <c r="B33" s="4">
        <f t="shared" si="3"/>
        <v>823</v>
      </c>
      <c r="C33" s="4" t="str">
        <f t="shared" si="0"/>
        <v>Academic</v>
      </c>
      <c r="D33" t="str">
        <f t="shared" si="4"/>
        <v>FY 1902</v>
      </c>
      <c r="E33" t="e">
        <f>IF(OR(D33=#REF!,D33=$T$1,D33=$U$1),D33,IF(RIGHT(D33,4)&gt;RIGHT($U$1,4),$U$1,IF(D33="","",#REF!)))</f>
        <v>#REF!</v>
      </c>
      <c r="F33" t="str">
        <f t="shared" si="7"/>
        <v>AY 1901-1902</v>
      </c>
      <c r="G33" s="2" t="str">
        <f t="shared" si="15"/>
        <v/>
      </c>
      <c r="H33" s="2" t="str">
        <f t="shared" si="15"/>
        <v/>
      </c>
      <c r="I33" s="2" t="str">
        <f t="shared" si="15"/>
        <v/>
      </c>
      <c r="J33" s="2" t="str">
        <f t="shared" si="5"/>
        <v>Year 3</v>
      </c>
      <c r="K33" s="5" t="str">
        <f t="shared" si="16"/>
        <v/>
      </c>
      <c r="L33" s="5" t="str">
        <f t="shared" si="16"/>
        <v/>
      </c>
      <c r="M33" s="5" t="str">
        <f t="shared" si="16"/>
        <v/>
      </c>
      <c r="N33" s="5" t="str">
        <f t="shared" si="16"/>
        <v/>
      </c>
      <c r="O33" s="5" t="str">
        <f t="shared" si="16"/>
        <v/>
      </c>
      <c r="P33" s="5" t="str">
        <f t="shared" si="16"/>
        <v/>
      </c>
      <c r="Q33" s="5" t="str">
        <f t="shared" si="16"/>
        <v/>
      </c>
      <c r="S33" s="21" t="s">
        <v>95</v>
      </c>
      <c r="T33" t="e">
        <f>(DSUM($S$59:$X$64,T$59,$U$11:$U$12)*INDEX($T$23:$X$29,MATCH($S23,$S$23:$S$29,0),MATCH($S$61,$T$22:$X$22,0)))+(DSUM($S$59:$X$64,T$59,$T$11:$T$12)*INDEX($T$23:$X$29,MATCH($S23,$S$23:$S$29,0),MATCH($S$60,$T$22:$X$22,0)))+(DSUM($S$59:$X$64,T$59,$V$11:$V$12)*INDEX($T$23:$X$29,MATCH($S23,$S$23:$S$29,0),MATCH($S$62,$T$22:$X$22,0)))+(DSUM($S$59:$X$64,T$59,$W$11:$W$12)*INDEX($T$23:$X$29,MATCH($S23,$S$23:$S$29,0),MATCH($S$63,$T$22:$X$22,0)))+(DSUM($S$59:$X$64,T$59,$X$11:$X$12)*INDEX($T$23:$X$29,MATCH($S23,$S$23:$S$29,0),MATCH($S$64,$T$22:$X$22,0)))</f>
        <v>#N/A</v>
      </c>
      <c r="U33" t="e">
        <f>(DSUM($S$59:$X$64,U$59,$U$11:$U$12)*INDEX($T$23:$X$29,MATCH($S23,$S$23:$S$29,0),MATCH($S$61,$T$22:$X$22,0)))+(DSUM($S$59:$X$64,U$59,$T$11:$T$12)*INDEX($T$23:$X$29,MATCH($S23,$S$23:$S$29,0),MATCH($S$60,$T$22:$X$22,0)))+(DSUM($S$59:$X$64,U$59,$V$11:$V$12)*INDEX($T$23:$X$29,MATCH($S23,$S$23:$S$29,0),MATCH($S$62,$T$22:$X$22,0)))+(DSUM($S$59:$X$64,U$59,$W$11:$W$12)*INDEX($T$23:$X$29,MATCH($S23,$S$23:$S$29,0),MATCH($S$63,$T$22:$X$22,0)))+(DSUM($S$59:$X$64,U$59,$X$11:$X$12)*INDEX($T$23:$X$29,MATCH($S23,$S$23:$S$29,0),MATCH($S$64,$T$22:$X$22,0)))</f>
        <v>#N/A</v>
      </c>
      <c r="V33" t="e">
        <f>(DSUM($S$59:$X$64,V$59,$U$11:$U$12)*INDEX($T$23:$X$29,MATCH($S23,$S$23:$S$29,0),MATCH($S$61,$T$22:$X$22,0)))+(DSUM($S$59:$X$64,V$59,$T$11:$T$12)*INDEX($T$23:$X$29,MATCH($S23,$S$23:$S$29,0),MATCH($S$60,$T$22:$X$22,0)))+(DSUM($S$59:$X$64,V$59,$V$11:$V$12)*INDEX($T$23:$X$29,MATCH($S23,$S$23:$S$29,0),MATCH($S$62,$T$22:$X$22,0)))+(DSUM($S$59:$X$64,V$59,$W$11:$W$12)*INDEX($T$23:$X$29,MATCH($S23,$S$23:$S$29,0),MATCH($S$63,$T$22:$X$22,0)))+(DSUM($S$59:$X$64,V$59,$X$11:$X$12)*INDEX($T$23:$X$29,MATCH($S23,$S$23:$S$29,0),MATCH($S$64,$T$22:$X$22,0)))</f>
        <v>#N/A</v>
      </c>
      <c r="W33" t="e">
        <f>(DSUM($S$59:$X$64,W$59,$U$11:$U$12)*INDEX($T$23:$X$29,MATCH($S23,$S$23:$S$29,0),MATCH($S$61,$T$22:$X$22,0)))+(DSUM($S$59:$X$64,W$59,$T$11:$T$12)*INDEX($T$23:$X$29,MATCH($S23,$S$23:$S$29,0),MATCH($S$60,$T$22:$X$22,0)))+(DSUM($S$59:$X$64,W$59,$V$11:$V$12)*INDEX($T$23:$X$29,MATCH($S23,$S$23:$S$29,0),MATCH($S$62,$T$22:$X$22,0)))+(DSUM($S$59:$X$64,W$59,$W$11:$W$12)*INDEX($T$23:$X$29,MATCH($S23,$S$23:$S$29,0),MATCH($S$63,$T$22:$X$22,0)))+(DSUM($S$59:$X$64,W$59,$X$11:$X$12)*INDEX($T$23:$X$29,MATCH($S23,$S$23:$S$29,0),MATCH($S$64,$T$22:$X$22,0)))</f>
        <v>#N/A</v>
      </c>
      <c r="X33" t="e">
        <f>(DSUM($S$59:$X$64,X$59,$U$11:$U$12)*INDEX($T$23:$X$29,MATCH($S23,$S$23:$S$29,0),MATCH($S$61,$T$22:$X$22,0)))+(DSUM($S$59:$X$64,X$59,$T$11:$T$12)*INDEX($T$23:$X$29,MATCH($S23,$S$23:$S$29,0),MATCH($S$60,$T$22:$X$22,0)))+(DSUM($S$59:$X$64,X$59,$V$11:$V$12)*INDEX($T$23:$X$29,MATCH($S23,$S$23:$S$29,0),MATCH($S$62,$T$22:$X$22,0)))+(DSUM($S$59:$X$64,X$59,$W$11:$W$12)*INDEX($T$23:$X$29,MATCH($S23,$S$23:$S$29,0),MATCH($S$63,$T$22:$X$22,0)))+(DSUM($S$59:$X$64,X$59,$X$11:$X$12)*INDEX($T$23:$X$29,MATCH($S23,$S$23:$S$29,0),MATCH($S$64,$T$22:$X$22,0)))</f>
        <v>#N/A</v>
      </c>
      <c r="AA33" t="s">
        <v>77</v>
      </c>
      <c r="AB33" s="2">
        <f>AB14/9</f>
        <v>563.65744543935159</v>
      </c>
      <c r="AC33" s="2">
        <f>AC14/12</f>
        <v>214.78790338969603</v>
      </c>
      <c r="AD33" s="2">
        <f>AD14/9</f>
        <v>99.819611459128907</v>
      </c>
      <c r="AF33" t="s">
        <v>130</v>
      </c>
      <c r="AG33" t="s">
        <v>218</v>
      </c>
      <c r="AH33" t="s">
        <v>220</v>
      </c>
      <c r="AI33" t="s">
        <v>221</v>
      </c>
    </row>
    <row r="34" spans="1:36" x14ac:dyDescent="0.25">
      <c r="A34" s="22">
        <v>29</v>
      </c>
      <c r="B34" s="4">
        <f t="shared" si="3"/>
        <v>853</v>
      </c>
      <c r="C34" s="4" t="str">
        <f t="shared" si="0"/>
        <v>Academic</v>
      </c>
      <c r="D34" t="str">
        <f t="shared" si="4"/>
        <v>FY 1902</v>
      </c>
      <c r="E34" t="e">
        <f>IF(OR(D34=#REF!,D34=$T$1,D34=$U$1),D34,IF(RIGHT(D34,4)&gt;RIGHT($U$1,4),$U$1,IF(D34="","",#REF!)))</f>
        <v>#REF!</v>
      </c>
      <c r="F34" t="str">
        <f t="shared" si="7"/>
        <v>AY 1901-1902</v>
      </c>
      <c r="G34" s="2" t="str">
        <f t="shared" si="15"/>
        <v/>
      </c>
      <c r="H34" s="2" t="str">
        <f t="shared" si="15"/>
        <v/>
      </c>
      <c r="I34" s="2" t="str">
        <f t="shared" si="15"/>
        <v/>
      </c>
      <c r="J34" s="2" t="str">
        <f t="shared" si="5"/>
        <v>Year 3</v>
      </c>
      <c r="K34" s="5" t="str">
        <f t="shared" si="16"/>
        <v/>
      </c>
      <c r="L34" s="5" t="str">
        <f t="shared" si="16"/>
        <v/>
      </c>
      <c r="M34" s="5" t="str">
        <f t="shared" si="16"/>
        <v/>
      </c>
      <c r="N34" s="5" t="str">
        <f t="shared" si="16"/>
        <v/>
      </c>
      <c r="O34" s="5" t="str">
        <f t="shared" si="16"/>
        <v/>
      </c>
      <c r="P34" s="5" t="str">
        <f t="shared" si="16"/>
        <v/>
      </c>
      <c r="Q34" s="5" t="str">
        <f t="shared" si="16"/>
        <v/>
      </c>
      <c r="S34" s="21" t="s">
        <v>99</v>
      </c>
      <c r="T34" t="e">
        <f>(DSUM($S$14:$X$19,T$14,$U$11:$U$12)*INDEX($T$23:$X$29,MATCH($S24,$S$23:$S$29,0),MATCH($S$16,$T$22:$X$22,0)))+(DSUM($S$14:$X$19,T$14,$T$11:$T$12)*INDEX($T$23:$X$29,MATCH($S24,$S$23:$S$29,0),MATCH($S$15,$T$22:$X$22,0)))+(DSUM($S$14:$X$19,T$14,$V$11:$V$12)*INDEX($T$23:$X$29,MATCH($S24,$S$23:$S$29,0),MATCH($S$17,$T$22:$X$22,0)))+(DSUM($S$14:$X$19,T$14,$W$11:$W$12)*INDEX($T$23:$X$29,MATCH($S24,$S$23:$S$29,0),MATCH($S$18,$T$22:$X$22,0)))+(DSUM($S$14:$X$19,T$14,$X$11:$X$12)*INDEX($T$23:$X$29,MATCH($S24,$S$23:$S$29,0),MATCH($S$19,$T$22:$X$22,0)))</f>
        <v>#REF!</v>
      </c>
      <c r="U34" t="e">
        <f>(DSUM($S$14:$X$19,U$14,$U$11:$U$12)*INDEX($T$23:$X$29,MATCH($S24,$S$23:$S$29,0),MATCH($S$16,$T$22:$X$22,0)))+(DSUM($S$14:$X$19,U$14,$T$11:$T$12)*INDEX($T$23:$X$29,MATCH($S24,$S$23:$S$29,0),MATCH($S$15,$T$22:$X$22,0)))+(DSUM($S$14:$X$19,U$14,$V$11:$V$12)*INDEX($T$23:$X$29,MATCH($S24,$S$23:$S$29,0),MATCH($S$17,$T$22:$X$22,0)))+(DSUM($S$14:$X$19,U$14,$W$11:$W$12)*INDEX($T$23:$X$29,MATCH($S24,$S$23:$S$29,0),MATCH($S$18,$T$22:$X$22,0)))+(DSUM($S$14:$X$19,U$14,$X$11:$X$12)*INDEX($T$23:$X$29,MATCH($S24,$S$23:$S$29,0),MATCH($S$19,$T$22:$X$22,0)))</f>
        <v>#REF!</v>
      </c>
      <c r="V34" t="e">
        <f>(DSUM($S$14:$X$19,V$14,$U$11:$U$12)*INDEX($T$23:$X$29,MATCH($S24,$S$23:$S$29,0),MATCH($S$16,$T$22:$X$22,0)))+(DSUM($S$14:$X$19,V$14,$T$11:$T$12)*INDEX($T$23:$X$29,MATCH($S24,$S$23:$S$29,0),MATCH($S$15,$T$22:$X$22,0)))+(DSUM($S$14:$X$19,V$14,$V$11:$V$12)*INDEX($T$23:$X$29,MATCH($S24,$S$23:$S$29,0),MATCH($S$17,$T$22:$X$22,0)))+(DSUM($S$14:$X$19,V$14,$W$11:$W$12)*INDEX($T$23:$X$29,MATCH($S24,$S$23:$S$29,0),MATCH($S$18,$T$22:$X$22,0)))+(DSUM($S$14:$X$19,V$14,$X$11:$X$12)*INDEX($T$23:$X$29,MATCH($S24,$S$23:$S$29,0),MATCH($S$19,$T$22:$X$22,0)))</f>
        <v>#REF!</v>
      </c>
      <c r="W34" t="e">
        <f>(DSUM($S$14:$X$19,W$14,$U$11:$U$12)*INDEX($T$23:$X$29,MATCH($S24,$S$23:$S$29,0),MATCH($S$16,$T$22:$X$22,0)))+(DSUM($S$14:$X$19,W$14,$T$11:$T$12)*INDEX($T$23:$X$29,MATCH($S24,$S$23:$S$29,0),MATCH($S$15,$T$22:$X$22,0)))+(DSUM($S$14:$X$19,W$14,$V$11:$V$12)*INDEX($T$23:$X$29,MATCH($S24,$S$23:$S$29,0),MATCH($S$17,$T$22:$X$22,0)))+(DSUM($S$14:$X$19,W$14,$W$11:$W$12)*INDEX($T$23:$X$29,MATCH($S24,$S$23:$S$29,0),MATCH($S$18,$T$22:$X$22,0)))+(DSUM($S$14:$X$19,W$14,$X$11:$X$12)*INDEX($T$23:$X$29,MATCH($S24,$S$23:$S$29,0),MATCH($S$19,$T$22:$X$22,0)))</f>
        <v>#REF!</v>
      </c>
      <c r="X34" t="e">
        <f>(DSUM($S$14:$X$19,X$14,$U$11:$U$12)*INDEX($T$23:$X$29,MATCH($S24,$S$23:$S$29,0),MATCH($S$16,$T$22:$X$22,0)))+(DSUM($S$14:$X$19,X$14,$T$11:$T$12)*INDEX($T$23:$X$29,MATCH($S24,$S$23:$S$29,0),MATCH($S$15,$T$22:$X$22,0)))+(DSUM($S$14:$X$19,X$14,$V$11:$V$12)*INDEX($T$23:$X$29,MATCH($S24,$S$23:$S$29,0),MATCH($S$17,$T$22:$X$22,0)))+(DSUM($S$14:$X$19,X$14,$W$11:$W$12)*INDEX($T$23:$X$29,MATCH($S24,$S$23:$S$29,0),MATCH($S$18,$T$22:$X$22,0)))+(DSUM($S$14:$X$19,X$14,$X$11:$X$12)*INDEX($T$23:$X$29,MATCH($S24,$S$23:$S$29,0),MATCH($S$19,$T$22:$X$22,0)))</f>
        <v>#REF!</v>
      </c>
      <c r="AA34" t="s">
        <v>88</v>
      </c>
      <c r="AB34" s="2">
        <f>0</f>
        <v>0</v>
      </c>
      <c r="AC34" s="2">
        <f>AC33</f>
        <v>214.78790338969603</v>
      </c>
      <c r="AD34" s="2">
        <f>0</f>
        <v>0</v>
      </c>
      <c r="AF34" t="s">
        <v>131</v>
      </c>
      <c r="AG34" t="s">
        <v>219</v>
      </c>
      <c r="AH34" t="s">
        <v>220</v>
      </c>
      <c r="AI34" t="s">
        <v>221</v>
      </c>
    </row>
    <row r="35" spans="1:36" x14ac:dyDescent="0.25">
      <c r="A35" s="22">
        <v>30</v>
      </c>
      <c r="B35" s="4">
        <f t="shared" si="3"/>
        <v>884</v>
      </c>
      <c r="C35" s="4" t="str">
        <f t="shared" si="0"/>
        <v>Summer</v>
      </c>
      <c r="D35" t="str">
        <f t="shared" si="4"/>
        <v>FY 1902</v>
      </c>
      <c r="E35" t="e">
        <f>IF(OR(D35=#REF!,D35=$T$1,D35=$U$1),D35,IF(RIGHT(D35,4)&gt;RIGHT($U$1,4),$U$1,IF(D35="","",#REF!)))</f>
        <v>#REF!</v>
      </c>
      <c r="F35" t="str">
        <f t="shared" si="7"/>
        <v>SU 1901-1902</v>
      </c>
      <c r="G35" s="2" t="str">
        <f t="shared" si="15"/>
        <v/>
      </c>
      <c r="H35" s="2" t="str">
        <f t="shared" si="15"/>
        <v/>
      </c>
      <c r="I35" s="2" t="str">
        <f t="shared" si="15"/>
        <v/>
      </c>
      <c r="J35" s="2" t="str">
        <f t="shared" si="5"/>
        <v>Year 3</v>
      </c>
      <c r="K35" s="5" t="str">
        <f t="shared" si="16"/>
        <v/>
      </c>
      <c r="L35" s="5" t="str">
        <f t="shared" si="16"/>
        <v/>
      </c>
      <c r="M35" s="5" t="str">
        <f t="shared" si="16"/>
        <v/>
      </c>
      <c r="N35" s="5" t="str">
        <f t="shared" si="16"/>
        <v/>
      </c>
      <c r="O35" s="5" t="str">
        <f t="shared" si="16"/>
        <v/>
      </c>
      <c r="P35" s="5" t="str">
        <f t="shared" si="16"/>
        <v/>
      </c>
      <c r="Q35" s="5" t="str">
        <f t="shared" si="16"/>
        <v/>
      </c>
      <c r="S35" s="21" t="s">
        <v>108</v>
      </c>
      <c r="T35" t="e">
        <f t="shared" ref="T35:X38" si="17">(DSUM($S$59:$X$64,T$59,$U$11:$U$12)*INDEX($T$23:$X$29,MATCH($S25,$S$23:$S$29,0),MATCH($S$61,$T$22:$X$22,0)))+(DSUM($S$59:$X$64,T$59,$T$11:$T$12)*INDEX($T$23:$X$29,MATCH($S25,$S$23:$S$29,0),MATCH($S$60,$T$22:$X$22,0)))+(DSUM($S$59:$X$64,T$59,$V$11:$V$12)*INDEX($T$23:$X$29,MATCH($S25,$S$23:$S$29,0),MATCH($S$62,$T$22:$X$22,0)))+(DSUM($S$59:$X$64,T$59,$W$11:$W$12)*INDEX($T$23:$X$29,MATCH($S25,$S$23:$S$29,0),MATCH($S$63,$T$22:$X$22,0)))+(DSUM($S$59:$X$64,T$59,$X$11:$X$12)*INDEX($T$23:$X$29,MATCH($S25,$S$23:$S$29,0),MATCH($S$64,$T$22:$X$22,0)))</f>
        <v>#N/A</v>
      </c>
      <c r="U35" t="e">
        <f t="shared" si="17"/>
        <v>#N/A</v>
      </c>
      <c r="V35" t="e">
        <f t="shared" si="17"/>
        <v>#N/A</v>
      </c>
      <c r="W35" t="e">
        <f t="shared" si="17"/>
        <v>#N/A</v>
      </c>
      <c r="X35" t="e">
        <f t="shared" si="17"/>
        <v>#N/A</v>
      </c>
    </row>
    <row r="36" spans="1:36" x14ac:dyDescent="0.25">
      <c r="A36" s="22">
        <v>31</v>
      </c>
      <c r="B36" s="4">
        <f t="shared" si="3"/>
        <v>914</v>
      </c>
      <c r="C36" s="4" t="str">
        <f t="shared" si="0"/>
        <v>Summer</v>
      </c>
      <c r="D36" t="str">
        <f t="shared" si="4"/>
        <v>FY 1903</v>
      </c>
      <c r="E36" t="e">
        <f>IF(OR(D36=#REF!,D36=$T$1,D36=$U$1),D36,IF(RIGHT(D36,4)&gt;RIGHT($U$1,4),$U$1,IF(D36="","",#REF!)))</f>
        <v>#REF!</v>
      </c>
      <c r="F36" t="str">
        <f t="shared" si="7"/>
        <v>SU 1901-1902</v>
      </c>
      <c r="G36" s="2" t="str">
        <f t="shared" si="15"/>
        <v/>
      </c>
      <c r="H36" s="2" t="str">
        <f t="shared" si="15"/>
        <v/>
      </c>
      <c r="I36" s="2" t="str">
        <f t="shared" si="15"/>
        <v/>
      </c>
      <c r="J36" s="2" t="str">
        <f t="shared" si="5"/>
        <v>Year 3</v>
      </c>
      <c r="K36" s="5" t="str">
        <f t="shared" ref="K36:Q45" si="18">IF(ISERROR(IF(RIGHT($E36,4)&gt;RIGHT($U$1,4),INDEX($V$43:$X$55,MATCH(K$5,$T$43:$T$55,0),MATCH($U$1,$V$42:$X$42,0)),INDEX($V$43:$X$55,MATCH(K$5,$T$43:$T$55,0),MATCH($E36,$V$42:$X$42,0)))),"",
IF(OR(K$5="FTS",K$5="PTU",K$5="PTS",K$5="PTG"),
IF($C36="Summer",
IF(RIGHT($E36,4)&gt;RIGHT($U$1,4),INDEX($V$43:$X$55,MATCH(K$5,$T$43:$T$55,0),MATCH($U$1,$V$42:$X$42,0)),INDEX($V$43:$X$55,MATCH(K$5,$T$43:$T$55,0),MATCH($E36,$V$42:$X$42,0))),0),IF(RIGHT($E36,4)&gt;RIGHT($U$1,4),INDEX($V$43:$X$55,MATCH(K$5,$T$43:$T$55,0),MATCH($U$1,$V$42:$X$42,0)),INDEX($V$43:$X$55,MATCH(K$5,$T$43:$T$55,0),MATCH($E36,$V$42:$X$42,0)))))</f>
        <v/>
      </c>
      <c r="L36" s="5" t="str">
        <f t="shared" si="18"/>
        <v/>
      </c>
      <c r="M36" s="5" t="str">
        <f t="shared" si="18"/>
        <v/>
      </c>
      <c r="N36" s="5" t="str">
        <f t="shared" si="18"/>
        <v/>
      </c>
      <c r="O36" s="5" t="str">
        <f t="shared" si="18"/>
        <v/>
      </c>
      <c r="P36" s="5" t="str">
        <f t="shared" si="18"/>
        <v/>
      </c>
      <c r="Q36" s="5" t="str">
        <f t="shared" si="18"/>
        <v/>
      </c>
      <c r="S36" s="21" t="s">
        <v>157</v>
      </c>
      <c r="T36" t="e">
        <f t="shared" si="17"/>
        <v>#N/A</v>
      </c>
      <c r="U36" t="e">
        <f t="shared" si="17"/>
        <v>#N/A</v>
      </c>
      <c r="V36" t="e">
        <f t="shared" si="17"/>
        <v>#N/A</v>
      </c>
      <c r="W36" t="e">
        <f t="shared" si="17"/>
        <v>#N/A</v>
      </c>
      <c r="X36" t="e">
        <f t="shared" si="17"/>
        <v>#N/A</v>
      </c>
      <c r="AA36" s="24" t="s">
        <v>0</v>
      </c>
      <c r="AB36" s="21" t="str">
        <f>IF($H$2&gt;0,"Year 1","")</f>
        <v>Year 1</v>
      </c>
      <c r="AC36" s="21" t="str">
        <f>IF($H$2&gt;12,"Year 2","")</f>
        <v>Year 2</v>
      </c>
      <c r="AD36" s="21" t="str">
        <f>IF($H$2&gt;24,"Year 3","")</f>
        <v>Year 3</v>
      </c>
      <c r="AE36" s="21" t="str">
        <f>IF($H$2&gt;36,"Year 4","")</f>
        <v>Year 4</v>
      </c>
      <c r="AF36" s="21" t="str">
        <f>IF($H$2&gt;48,"Year 5","")</f>
        <v>Year 5</v>
      </c>
    </row>
    <row r="37" spans="1:36" x14ac:dyDescent="0.25">
      <c r="A37" s="22">
        <v>32</v>
      </c>
      <c r="B37" s="4">
        <f t="shared" si="3"/>
        <v>945</v>
      </c>
      <c r="C37" s="4" t="str">
        <f t="shared" si="0"/>
        <v>Summer</v>
      </c>
      <c r="D37" t="str">
        <f t="shared" si="4"/>
        <v>FY 1903</v>
      </c>
      <c r="E37" t="e">
        <f>IF(OR(D37=#REF!,D37=$T$1,D37=$U$1),D37,IF(RIGHT(D37,4)&gt;RIGHT($U$1,4),$U$1,IF(D37="","",#REF!)))</f>
        <v>#REF!</v>
      </c>
      <c r="F37" t="str">
        <f t="shared" si="7"/>
        <v>SU 1901-1902</v>
      </c>
      <c r="G37" s="2" t="str">
        <f t="shared" si="15"/>
        <v/>
      </c>
      <c r="H37" s="2" t="str">
        <f t="shared" si="15"/>
        <v/>
      </c>
      <c r="I37" s="2" t="str">
        <f t="shared" si="15"/>
        <v/>
      </c>
      <c r="J37" s="2" t="str">
        <f t="shared" si="5"/>
        <v>Year 3</v>
      </c>
      <c r="K37" s="5" t="str">
        <f t="shared" si="18"/>
        <v/>
      </c>
      <c r="L37" s="5" t="str">
        <f t="shared" si="18"/>
        <v/>
      </c>
      <c r="M37" s="5" t="str">
        <f t="shared" si="18"/>
        <v/>
      </c>
      <c r="N37" s="5" t="str">
        <f t="shared" si="18"/>
        <v/>
      </c>
      <c r="O37" s="5" t="str">
        <f t="shared" si="18"/>
        <v/>
      </c>
      <c r="P37" s="5" t="str">
        <f t="shared" si="18"/>
        <v/>
      </c>
      <c r="Q37" s="5" t="str">
        <f t="shared" si="18"/>
        <v/>
      </c>
      <c r="S37" s="21" t="s">
        <v>107</v>
      </c>
      <c r="T37" t="e">
        <f t="shared" si="17"/>
        <v>#N/A</v>
      </c>
      <c r="U37" t="e">
        <f t="shared" si="17"/>
        <v>#N/A</v>
      </c>
      <c r="V37" t="e">
        <f t="shared" si="17"/>
        <v>#N/A</v>
      </c>
      <c r="W37" t="e">
        <f t="shared" si="17"/>
        <v>#N/A</v>
      </c>
      <c r="X37" t="e">
        <f t="shared" si="17"/>
        <v>#N/A</v>
      </c>
    </row>
    <row r="38" spans="1:36" x14ac:dyDescent="0.25">
      <c r="A38" s="22">
        <v>33</v>
      </c>
      <c r="B38" s="4">
        <f t="shared" si="3"/>
        <v>976</v>
      </c>
      <c r="C38" s="4" t="str">
        <f t="shared" si="0"/>
        <v>Academic</v>
      </c>
      <c r="D38" t="str">
        <f t="shared" si="4"/>
        <v>FY 1903</v>
      </c>
      <c r="E38" t="e">
        <f>IF(OR(D38=#REF!,D38=$T$1,D38=$U$1),D38,IF(RIGHT(D38,4)&gt;RIGHT($U$1,4),$U$1,IF(D38="","",#REF!)))</f>
        <v>#REF!</v>
      </c>
      <c r="F38" t="str">
        <f t="shared" si="7"/>
        <v>AY 1902-1903</v>
      </c>
      <c r="G38" s="2" t="str">
        <f t="shared" si="15"/>
        <v/>
      </c>
      <c r="H38" s="2" t="str">
        <f t="shared" si="15"/>
        <v/>
      </c>
      <c r="I38" s="2" t="str">
        <f t="shared" si="15"/>
        <v/>
      </c>
      <c r="J38" s="2" t="str">
        <f t="shared" si="5"/>
        <v>Year 3</v>
      </c>
      <c r="K38" s="5" t="str">
        <f t="shared" si="18"/>
        <v/>
      </c>
      <c r="L38" s="5" t="str">
        <f t="shared" si="18"/>
        <v/>
      </c>
      <c r="M38" s="5" t="str">
        <f t="shared" si="18"/>
        <v/>
      </c>
      <c r="N38" s="5" t="str">
        <f t="shared" si="18"/>
        <v/>
      </c>
      <c r="O38" s="5" t="str">
        <f t="shared" si="18"/>
        <v/>
      </c>
      <c r="P38" s="5" t="str">
        <f t="shared" si="18"/>
        <v/>
      </c>
      <c r="Q38" s="5" t="str">
        <f t="shared" si="18"/>
        <v/>
      </c>
      <c r="S38" s="21" t="s">
        <v>96</v>
      </c>
      <c r="T38" t="e">
        <f t="shared" si="17"/>
        <v>#N/A</v>
      </c>
      <c r="U38" t="e">
        <f t="shared" si="17"/>
        <v>#N/A</v>
      </c>
      <c r="V38" t="e">
        <f t="shared" si="17"/>
        <v>#N/A</v>
      </c>
      <c r="W38" t="e">
        <f t="shared" si="17"/>
        <v>#N/A</v>
      </c>
      <c r="X38" t="e">
        <f t="shared" si="17"/>
        <v>#N/A</v>
      </c>
      <c r="AA38" s="24" t="s">
        <v>1</v>
      </c>
      <c r="AB38" s="21" t="str">
        <f>IF($H$2&gt;0,"Year 1","")</f>
        <v>Year 1</v>
      </c>
      <c r="AC38" s="21" t="str">
        <f>IF($H$2&gt;12,"Year 2","")</f>
        <v>Year 2</v>
      </c>
      <c r="AD38" s="21" t="str">
        <f>IF($H$2&gt;24,"Year 3","")</f>
        <v>Year 3</v>
      </c>
      <c r="AE38" s="21" t="str">
        <f>IF($H$2&gt;36,"Year 4","")</f>
        <v>Year 4</v>
      </c>
      <c r="AF38" s="21" t="str">
        <f>IF($H$2&gt;48,"Year 5","")</f>
        <v>Year 5</v>
      </c>
    </row>
    <row r="39" spans="1:36" x14ac:dyDescent="0.25">
      <c r="A39" s="22">
        <v>34</v>
      </c>
      <c r="B39" s="4">
        <f t="shared" si="3"/>
        <v>1006</v>
      </c>
      <c r="C39" s="4" t="str">
        <f t="shared" si="0"/>
        <v>Academic</v>
      </c>
      <c r="D39" t="str">
        <f t="shared" si="4"/>
        <v>FY 1903</v>
      </c>
      <c r="E39" t="e">
        <f>IF(OR(D39=#REF!,D39=$T$1,D39=$U$1),D39,IF(RIGHT(D39,4)&gt;RIGHT($U$1,4),$U$1,IF(D39="","",#REF!)))</f>
        <v>#REF!</v>
      </c>
      <c r="F39" t="str">
        <f t="shared" si="7"/>
        <v>AY 1902-1903</v>
      </c>
      <c r="G39" s="2" t="str">
        <f t="shared" si="15"/>
        <v/>
      </c>
      <c r="H39" s="2" t="str">
        <f t="shared" si="15"/>
        <v/>
      </c>
      <c r="I39" s="2" t="str">
        <f t="shared" si="15"/>
        <v/>
      </c>
      <c r="J39" s="2" t="str">
        <f t="shared" si="5"/>
        <v>Year 3</v>
      </c>
      <c r="K39" s="5" t="str">
        <f t="shared" si="18"/>
        <v/>
      </c>
      <c r="L39" s="5" t="str">
        <f t="shared" si="18"/>
        <v/>
      </c>
      <c r="M39" s="5" t="str">
        <f t="shared" si="18"/>
        <v/>
      </c>
      <c r="N39" s="5" t="str">
        <f t="shared" si="18"/>
        <v/>
      </c>
      <c r="O39" s="5" t="str">
        <f t="shared" si="18"/>
        <v/>
      </c>
      <c r="P39" s="5" t="str">
        <f t="shared" si="18"/>
        <v/>
      </c>
      <c r="Q39" s="5" t="str">
        <f t="shared" si="18"/>
        <v/>
      </c>
      <c r="S39" s="21" t="s">
        <v>100</v>
      </c>
      <c r="T39" t="e">
        <f>(DSUM($S$14:$X$19,T$14,$U$11:$U$12)*INDEX($T$23:$X$29,MATCH($S29,$S$23:$S$29,0),MATCH($S$16,$T$22:$X$22,0)))+(DSUM($S$14:$X$19,T$14,$T$11:$T$12)*INDEX($T$23:$X$29,MATCH($S29,$S$23:$S$29,0),MATCH($S$15,$T$22:$X$22,0)))+(DSUM($S$14:$X$19,T$14,$V$11:$V$12)*INDEX($T$23:$X$29,MATCH($S29,$S$23:$S$29,0),MATCH($S$17,$T$22:$X$22,0)))+(DSUM($S$14:$X$19,T$14,$W$11:$W$12)*INDEX($T$23:$X$29,MATCH($S29,$S$23:$S$29,0),MATCH($S$18,$T$22:$X$22,0)))+(DSUM($S$14:$X$19,T$14,$X$11:$X$12)*INDEX($T$23:$X$29,MATCH($S29,$S$23:$S$29,0),MATCH($S$19,$T$22:$X$22,0)))</f>
        <v>#N/A</v>
      </c>
      <c r="U39" t="e">
        <f>(DSUM($S$14:$X$19,U$14,$U$11:$U$12)*INDEX($T$23:$X$29,MATCH($S29,$S$23:$S$29,0),MATCH($S$16,$T$22:$X$22,0)))+(DSUM($S$14:$X$19,U$14,$T$11:$T$12)*INDEX($T$23:$X$29,MATCH($S29,$S$23:$S$29,0),MATCH($S$15,$T$22:$X$22,0)))+(DSUM($S$14:$X$19,U$14,$V$11:$V$12)*INDEX($T$23:$X$29,MATCH($S29,$S$23:$S$29,0),MATCH($S$17,$T$22:$X$22,0)))+(DSUM($S$14:$X$19,U$14,$W$11:$W$12)*INDEX($T$23:$X$29,MATCH($S29,$S$23:$S$29,0),MATCH($S$18,$T$22:$X$22,0)))+(DSUM($S$14:$X$19,U$14,$X$11:$X$12)*INDEX($T$23:$X$29,MATCH($S29,$S$23:$S$29,0),MATCH($S$19,$T$22:$X$22,0)))</f>
        <v>#N/A</v>
      </c>
      <c r="V39" t="e">
        <f>(DSUM($S$14:$X$19,V$14,$U$11:$U$12)*INDEX($T$23:$X$29,MATCH($S29,$S$23:$S$29,0),MATCH($S$16,$T$22:$X$22,0)))+(DSUM($S$14:$X$19,V$14,$T$11:$T$12)*INDEX($T$23:$X$29,MATCH($S29,$S$23:$S$29,0),MATCH($S$15,$T$22:$X$22,0)))+(DSUM($S$14:$X$19,V$14,$V$11:$V$12)*INDEX($T$23:$X$29,MATCH($S29,$S$23:$S$29,0),MATCH($S$17,$T$22:$X$22,0)))+(DSUM($S$14:$X$19,V$14,$W$11:$W$12)*INDEX($T$23:$X$29,MATCH($S29,$S$23:$S$29,0),MATCH($S$18,$T$22:$X$22,0)))+(DSUM($S$14:$X$19,V$14,$X$11:$X$12)*INDEX($T$23:$X$29,MATCH($S29,$S$23:$S$29,0),MATCH($S$19,$T$22:$X$22,0)))</f>
        <v>#N/A</v>
      </c>
      <c r="W39" t="e">
        <f>(DSUM($S$14:$X$19,W$14,$U$11:$U$12)*INDEX($T$23:$X$29,MATCH($S29,$S$23:$S$29,0),MATCH($S$16,$T$22:$X$22,0)))+(DSUM($S$14:$X$19,W$14,$T$11:$T$12)*INDEX($T$23:$X$29,MATCH($S29,$S$23:$S$29,0),MATCH($S$15,$T$22:$X$22,0)))+(DSUM($S$14:$X$19,W$14,$V$11:$V$12)*INDEX($T$23:$X$29,MATCH($S29,$S$23:$S$29,0),MATCH($S$17,$T$22:$X$22,0)))+(DSUM($S$14:$X$19,W$14,$W$11:$W$12)*INDEX($T$23:$X$29,MATCH($S29,$S$23:$S$29,0),MATCH($S$18,$T$22:$X$22,0)))+(DSUM($S$14:$X$19,W$14,$X$11:$X$12)*INDEX($T$23:$X$29,MATCH($S29,$S$23:$S$29,0),MATCH($S$19,$T$22:$X$22,0)))</f>
        <v>#N/A</v>
      </c>
      <c r="X39" t="e">
        <f>(DSUM($S$14:$X$19,X$14,$U$11:$U$12)*INDEX($T$23:$X$29,MATCH($S29,$S$23:$S$29,0),MATCH($S$16,$T$22:$X$22,0)))+(DSUM($S$14:$X$19,X$14,$T$11:$T$12)*INDEX($T$23:$X$29,MATCH($S29,$S$23:$S$29,0),MATCH($S$15,$T$22:$X$22,0)))+(DSUM($S$14:$X$19,X$14,$V$11:$V$12)*INDEX($T$23:$X$29,MATCH($S29,$S$23:$S$29,0),MATCH($S$17,$T$22:$X$22,0)))+(DSUM($S$14:$X$19,X$14,$W$11:$W$12)*INDEX($T$23:$X$29,MATCH($S29,$S$23:$S$29,0),MATCH($S$18,$T$22:$X$22,0)))+(DSUM($S$14:$X$19,X$14,$X$11:$X$12)*INDEX($T$23:$X$29,MATCH($S29,$S$23:$S$29,0),MATCH($S$19,$T$22:$X$22,0)))</f>
        <v>#N/A</v>
      </c>
    </row>
    <row r="40" spans="1:36" x14ac:dyDescent="0.25">
      <c r="A40" s="22">
        <v>35</v>
      </c>
      <c r="B40" s="4">
        <f t="shared" si="3"/>
        <v>1037</v>
      </c>
      <c r="C40" s="4" t="str">
        <f t="shared" si="0"/>
        <v>Academic</v>
      </c>
      <c r="D40" t="str">
        <f t="shared" si="4"/>
        <v>FY 1903</v>
      </c>
      <c r="E40" t="e">
        <f>IF(OR(D40=#REF!,D40=$T$1,D40=$U$1),D40,IF(RIGHT(D40,4)&gt;RIGHT($U$1,4),$U$1,IF(D40="","",#REF!)))</f>
        <v>#REF!</v>
      </c>
      <c r="F40" t="str">
        <f t="shared" si="7"/>
        <v>AY 1902-1903</v>
      </c>
      <c r="G40" s="2" t="str">
        <f t="shared" si="15"/>
        <v/>
      </c>
      <c r="H40" s="2" t="str">
        <f t="shared" si="15"/>
        <v/>
      </c>
      <c r="I40" s="2" t="str">
        <f t="shared" si="15"/>
        <v/>
      </c>
      <c r="J40" s="2" t="str">
        <f t="shared" si="5"/>
        <v>Year 3</v>
      </c>
      <c r="K40" s="5" t="str">
        <f t="shared" si="18"/>
        <v/>
      </c>
      <c r="L40" s="5" t="str">
        <f t="shared" si="18"/>
        <v/>
      </c>
      <c r="M40" s="5" t="str">
        <f t="shared" si="18"/>
        <v/>
      </c>
      <c r="N40" s="5" t="str">
        <f t="shared" si="18"/>
        <v/>
      </c>
      <c r="O40" s="5" t="str">
        <f t="shared" si="18"/>
        <v/>
      </c>
      <c r="P40" s="5" t="str">
        <f t="shared" si="18"/>
        <v/>
      </c>
      <c r="Q40" s="5" t="str">
        <f t="shared" si="18"/>
        <v/>
      </c>
      <c r="S40" s="21" t="s">
        <v>146</v>
      </c>
      <c r="T40" t="e">
        <f>(DSUM($S$14:$X$19,T$14,$U$11:$U$12)*INDEX($T$23:$X$30,MATCH($S30,$S$23:$S$30,0),MATCH($S$16,$T$22:$X$22,0)))+(DSUM($S$14:$X$19,T$14,$T$11:$T$12)*INDEX($T$23:$X$30,MATCH($S30,$S$23:$S$30,0),MATCH($S$15,$T$22:$X$22,0)))+(DSUM($S$14:$X$19,T$14,$V$11:$V$12)*INDEX($T$23:$X$30,MATCH($S30,$S$23:$S$30,0),MATCH($S$17,$T$22:$X$22,0)))+(DSUM($S$14:$X$19,T$14,$W$11:$W$12)*INDEX($T$23:$X$30,MATCH($S30,$S$23:$S$30,0),MATCH($S$18,$T$22:$X$22,0)))+(DSUM($S$14:$X$19,T$14,$X$11:$X$12)*INDEX($T$23:$X$30,MATCH($S30,$S$23:$S$30,0),MATCH($S$19,$T$22:$X$22,0)))</f>
        <v>#N/A</v>
      </c>
      <c r="U40" t="e">
        <f>(DSUM($S$14:$X$19,U$14,$U$11:$U$12)*INDEX($T$23:$X$30,MATCH($S30,$S$23:$S$30,0),MATCH($S$16,$T$22:$X$22,0)))+(DSUM($S$14:$X$19,U$14,$T$11:$T$12)*INDEX($T$23:$X$30,MATCH($S30,$S$23:$S$30,0),MATCH($S$15,$T$22:$X$22,0)))+(DSUM($S$14:$X$19,U$14,$V$11:$V$12)*INDEX($T$23:$X$30,MATCH($S30,$S$23:$S$30,0),MATCH($S$17,$T$22:$X$22,0)))+(DSUM($S$14:$X$19,U$14,$W$11:$W$12)*INDEX($T$23:$X$30,MATCH($S30,$S$23:$S$30,0),MATCH($S$18,$T$22:$X$22,0)))+(DSUM($S$14:$X$19,U$14,$X$11:$X$12)*INDEX($T$23:$X$30,MATCH($S30,$S$23:$S$30,0),MATCH($S$19,$T$22:$X$22,0)))</f>
        <v>#N/A</v>
      </c>
      <c r="V40" t="e">
        <f>(DSUM($S$14:$X$19,V$14,$U$11:$U$12)*INDEX($T$23:$X$30,MATCH($S30,$S$23:$S$30,0),MATCH($S$16,$T$22:$X$22,0)))+(DSUM($S$14:$X$19,V$14,$T$11:$T$12)*INDEX($T$23:$X$30,MATCH($S30,$S$23:$S$30,0),MATCH($S$15,$T$22:$X$22,0)))+(DSUM($S$14:$X$19,V$14,$V$11:$V$12)*INDEX($T$23:$X$30,MATCH($S30,$S$23:$S$30,0),MATCH($S$17,$T$22:$X$22,0)))+(DSUM($S$14:$X$19,V$14,$W$11:$W$12)*INDEX($T$23:$X$30,MATCH($S30,$S$23:$S$30,0),MATCH($S$18,$T$22:$X$22,0)))+(DSUM($S$14:$X$19,V$14,$X$11:$X$12)*INDEX($T$23:$X$30,MATCH($S30,$S$23:$S$30,0),MATCH($S$19,$T$22:$X$22,0)))</f>
        <v>#N/A</v>
      </c>
      <c r="W40" t="e">
        <f>(DSUM($S$14:$X$19,W$14,$U$11:$U$12)*INDEX($T$23:$X$30,MATCH($S30,$S$23:$S$30,0),MATCH($S$16,$T$22:$X$22,0)))+(DSUM($S$14:$X$19,W$14,$T$11:$T$12)*INDEX($T$23:$X$30,MATCH($S30,$S$23:$S$30,0),MATCH($S$15,$T$22:$X$22,0)))+(DSUM($S$14:$X$19,W$14,$V$11:$V$12)*INDEX($T$23:$X$30,MATCH($S30,$S$23:$S$30,0),MATCH($S$17,$T$22:$X$22,0)))+(DSUM($S$14:$X$19,W$14,$W$11:$W$12)*INDEX($T$23:$X$30,MATCH($S30,$S$23:$S$30,0),MATCH($S$18,$T$22:$X$22,0)))+(DSUM($S$14:$X$19,W$14,$X$11:$X$12)*INDEX($T$23:$X$30,MATCH($S30,$S$23:$S$30,0),MATCH($S$19,$T$22:$X$22,0)))</f>
        <v>#N/A</v>
      </c>
      <c r="X40" t="e">
        <f>(DSUM($S$14:$X$19,X$14,$U$11:$U$12)*INDEX($T$23:$X$30,MATCH($S30,$S$23:$S$30,0),MATCH($S$16,$T$22:$X$22,0)))+(DSUM($S$14:$X$19,X$14,$T$11:$T$12)*INDEX($T$23:$X$30,MATCH($S30,$S$23:$S$30,0),MATCH($S$15,$T$22:$X$22,0)))+(DSUM($S$14:$X$19,X$14,$V$11:$V$12)*INDEX($T$23:$X$30,MATCH($S30,$S$23:$S$30,0),MATCH($S$17,$T$22:$X$22,0)))+(DSUM($S$14:$X$19,X$14,$W$11:$W$12)*INDEX($T$23:$X$30,MATCH($S30,$S$23:$S$30,0),MATCH($S$18,$T$22:$X$22,0)))+(DSUM($S$14:$X$19,X$14,$X$11:$X$12)*INDEX($T$23:$X$30,MATCH($S30,$S$23:$S$30,0),MATCH($S$19,$T$22:$X$22,0)))</f>
        <v>#N/A</v>
      </c>
      <c r="AA40" s="24" t="s">
        <v>2</v>
      </c>
      <c r="AB40" s="21" t="str">
        <f>IF($H$2&gt;0,"Year 1","")</f>
        <v>Year 1</v>
      </c>
      <c r="AC40" s="21" t="str">
        <f>IF($H$2&gt;12,"Year 2","")</f>
        <v>Year 2</v>
      </c>
      <c r="AD40" s="21" t="str">
        <f>IF($H$2&gt;24,"Year 3","")</f>
        <v>Year 3</v>
      </c>
      <c r="AE40" s="21" t="str">
        <f>IF($H$2&gt;36,"Year 4","")</f>
        <v>Year 4</v>
      </c>
      <c r="AF40" s="21" t="str">
        <f>IF($H$2&gt;48,"Year 5","")</f>
        <v>Year 5</v>
      </c>
    </row>
    <row r="41" spans="1:36" x14ac:dyDescent="0.25">
      <c r="A41" s="22">
        <v>36</v>
      </c>
      <c r="B41" s="4">
        <f t="shared" si="3"/>
        <v>1067</v>
      </c>
      <c r="C41" s="4" t="str">
        <f t="shared" si="0"/>
        <v>Academic</v>
      </c>
      <c r="D41" t="str">
        <f t="shared" si="4"/>
        <v>FY 1903</v>
      </c>
      <c r="E41" t="e">
        <f>IF(OR(D41=#REF!,D41=$T$1,D41=$U$1),D41,IF(RIGHT(D41,4)&gt;RIGHT($U$1,4),$U$1,IF(D41="","",#REF!)))</f>
        <v>#REF!</v>
      </c>
      <c r="F41" t="str">
        <f t="shared" si="7"/>
        <v>AY 1902-1903</v>
      </c>
      <c r="G41" s="2" t="str">
        <f t="shared" si="15"/>
        <v/>
      </c>
      <c r="H41" s="2" t="str">
        <f t="shared" si="15"/>
        <v/>
      </c>
      <c r="I41" s="2" t="str">
        <f t="shared" si="15"/>
        <v/>
      </c>
      <c r="J41" s="2" t="str">
        <f t="shared" si="5"/>
        <v>Year 3</v>
      </c>
      <c r="K41" s="5" t="str">
        <f t="shared" si="18"/>
        <v/>
      </c>
      <c r="L41" s="5" t="str">
        <f t="shared" si="18"/>
        <v/>
      </c>
      <c r="M41" s="5" t="str">
        <f t="shared" si="18"/>
        <v/>
      </c>
      <c r="N41" s="5" t="str">
        <f t="shared" si="18"/>
        <v/>
      </c>
      <c r="O41" s="5" t="str">
        <f t="shared" si="18"/>
        <v/>
      </c>
      <c r="P41" s="5" t="str">
        <f t="shared" si="18"/>
        <v/>
      </c>
      <c r="Q41" s="5" t="str">
        <f t="shared" si="18"/>
        <v/>
      </c>
    </row>
    <row r="42" spans="1:36" x14ac:dyDescent="0.25">
      <c r="A42" s="22">
        <v>37</v>
      </c>
      <c r="B42" s="4">
        <f t="shared" si="3"/>
        <v>1098</v>
      </c>
      <c r="C42" s="4" t="str">
        <f t="shared" si="0"/>
        <v>Academic</v>
      </c>
      <c r="D42" t="str">
        <f t="shared" si="4"/>
        <v>FY 1903</v>
      </c>
      <c r="E42" t="e">
        <f>IF(OR(D42=#REF!,D42=$T$1,D42=$U$1),D42,IF(RIGHT(D42,4)&gt;RIGHT($U$1,4),$U$1,IF(D42="","",#REF!)))</f>
        <v>#REF!</v>
      </c>
      <c r="F42" t="str">
        <f t="shared" si="7"/>
        <v>AY 1902-1903</v>
      </c>
      <c r="G42" s="2" t="str">
        <f t="shared" si="15"/>
        <v/>
      </c>
      <c r="H42" s="2"/>
      <c r="I42" s="2" t="str">
        <f t="shared" si="15"/>
        <v/>
      </c>
      <c r="J42" s="2" t="str">
        <f t="shared" si="5"/>
        <v>Year 4</v>
      </c>
      <c r="K42" s="5" t="str">
        <f t="shared" si="18"/>
        <v/>
      </c>
      <c r="L42" s="5" t="str">
        <f t="shared" si="18"/>
        <v/>
      </c>
      <c r="M42" s="5" t="str">
        <f t="shared" si="18"/>
        <v/>
      </c>
      <c r="N42" s="5" t="str">
        <f t="shared" si="18"/>
        <v/>
      </c>
      <c r="O42" s="5" t="str">
        <f t="shared" si="18"/>
        <v/>
      </c>
      <c r="P42" s="5" t="str">
        <f t="shared" si="18"/>
        <v/>
      </c>
      <c r="Q42" s="5" t="str">
        <f t="shared" si="18"/>
        <v/>
      </c>
      <c r="S42" s="21" t="s">
        <v>105</v>
      </c>
      <c r="T42" s="21" t="s">
        <v>106</v>
      </c>
      <c r="U42" s="30" t="s">
        <v>115</v>
      </c>
      <c r="V42" s="21" t="e">
        <f>#REF!</f>
        <v>#REF!</v>
      </c>
      <c r="W42" s="21" t="str">
        <f>T1</f>
        <v>FY 2013</v>
      </c>
      <c r="X42" s="21" t="str">
        <f>U1</f>
        <v>FY 2014</v>
      </c>
      <c r="Z42" t="s">
        <v>174</v>
      </c>
      <c r="AA42" s="24" t="s">
        <v>3</v>
      </c>
      <c r="AB42" s="24" t="s">
        <v>4</v>
      </c>
      <c r="AC42" s="24" t="s">
        <v>147</v>
      </c>
      <c r="AD42" s="24" t="s">
        <v>151</v>
      </c>
      <c r="AE42" s="24" t="s">
        <v>152</v>
      </c>
      <c r="AF42" s="24" t="s">
        <v>169</v>
      </c>
      <c r="AG42" s="24" t="s">
        <v>170</v>
      </c>
      <c r="AH42" s="24" t="s">
        <v>171</v>
      </c>
      <c r="AI42" s="24" t="s">
        <v>172</v>
      </c>
      <c r="AJ42" s="24" t="s">
        <v>173</v>
      </c>
    </row>
    <row r="43" spans="1:36" x14ac:dyDescent="0.25">
      <c r="A43" s="22">
        <v>38</v>
      </c>
      <c r="B43" s="4">
        <f t="shared" si="3"/>
        <v>1129</v>
      </c>
      <c r="C43" s="4" t="str">
        <f t="shared" si="0"/>
        <v>Academic</v>
      </c>
      <c r="D43" t="str">
        <f t="shared" si="4"/>
        <v>FY 1903</v>
      </c>
      <c r="E43" t="e">
        <f>IF(OR(D43=#REF!,D43=$T$1,D43=$U$1),D43,IF(RIGHT(D43,4)&gt;RIGHT($U$1,4),$U$1,IF(D43="","",#REF!)))</f>
        <v>#REF!</v>
      </c>
      <c r="F43" t="str">
        <f t="shared" si="7"/>
        <v>AY 1902-1903</v>
      </c>
      <c r="G43" s="2" t="str">
        <f t="shared" si="15"/>
        <v/>
      </c>
      <c r="H43" s="2" t="str">
        <f t="shared" si="15"/>
        <v/>
      </c>
      <c r="I43" s="2" t="str">
        <f t="shared" si="15"/>
        <v/>
      </c>
      <c r="J43" s="2" t="str">
        <f t="shared" si="5"/>
        <v>Year 4</v>
      </c>
      <c r="K43" s="5" t="str">
        <f t="shared" si="18"/>
        <v/>
      </c>
      <c r="L43" s="5" t="str">
        <f t="shared" si="18"/>
        <v/>
      </c>
      <c r="M43" s="5" t="str">
        <f t="shared" si="18"/>
        <v/>
      </c>
      <c r="N43" s="5" t="str">
        <f t="shared" si="18"/>
        <v/>
      </c>
      <c r="O43" s="5" t="str">
        <f t="shared" si="18"/>
        <v/>
      </c>
      <c r="P43" s="5" t="str">
        <f t="shared" si="18"/>
        <v/>
      </c>
      <c r="Q43" s="5" t="str">
        <f t="shared" si="18"/>
        <v/>
      </c>
      <c r="S43" t="s">
        <v>7</v>
      </c>
      <c r="T43" s="22" t="s">
        <v>95</v>
      </c>
      <c r="U43" s="28">
        <v>3</v>
      </c>
      <c r="V43" s="5">
        <v>0.17</v>
      </c>
      <c r="W43" s="5">
        <v>0.17</v>
      </c>
      <c r="X43" s="6">
        <v>0.17</v>
      </c>
      <c r="Z43" s="24" t="s">
        <v>167</v>
      </c>
      <c r="AA43">
        <f>COUNTIF($J$6:$J$125,AA42)</f>
        <v>12</v>
      </c>
      <c r="AB43">
        <f t="shared" ref="AB43:AJ43" si="19">AA43+COUNTIF($J$6:$J$125,AB42)</f>
        <v>24</v>
      </c>
      <c r="AC43">
        <f t="shared" si="19"/>
        <v>36</v>
      </c>
      <c r="AD43">
        <f t="shared" si="19"/>
        <v>48</v>
      </c>
      <c r="AE43">
        <f t="shared" si="19"/>
        <v>60</v>
      </c>
      <c r="AF43">
        <f t="shared" si="19"/>
        <v>60</v>
      </c>
      <c r="AG43">
        <f t="shared" si="19"/>
        <v>60</v>
      </c>
      <c r="AH43">
        <f t="shared" si="19"/>
        <v>60</v>
      </c>
      <c r="AI43">
        <f t="shared" si="19"/>
        <v>60</v>
      </c>
      <c r="AJ43">
        <f t="shared" si="19"/>
        <v>60</v>
      </c>
    </row>
    <row r="44" spans="1:36" x14ac:dyDescent="0.25">
      <c r="A44" s="22">
        <v>39</v>
      </c>
      <c r="B44" s="4">
        <f t="shared" si="3"/>
        <v>1157</v>
      </c>
      <c r="C44" s="4" t="str">
        <f t="shared" si="0"/>
        <v>Academic</v>
      </c>
      <c r="D44" t="str">
        <f t="shared" si="4"/>
        <v>FY 1903</v>
      </c>
      <c r="E44" t="e">
        <f>IF(OR(D44=#REF!,D44=$T$1,D44=$U$1),D44,IF(RIGHT(D44,4)&gt;RIGHT($U$1,4),$U$1,IF(D44="","",#REF!)))</f>
        <v>#REF!</v>
      </c>
      <c r="F44" t="str">
        <f t="shared" si="7"/>
        <v>AY 1902-1903</v>
      </c>
      <c r="G44" s="2" t="str">
        <f t="shared" si="15"/>
        <v/>
      </c>
      <c r="H44" s="2" t="str">
        <f t="shared" si="15"/>
        <v/>
      </c>
      <c r="I44" s="2" t="str">
        <f t="shared" si="15"/>
        <v/>
      </c>
      <c r="J44" s="2" t="str">
        <f t="shared" si="5"/>
        <v>Year 4</v>
      </c>
      <c r="K44" s="5" t="str">
        <f t="shared" si="18"/>
        <v/>
      </c>
      <c r="L44" s="5" t="str">
        <f t="shared" si="18"/>
        <v/>
      </c>
      <c r="M44" s="5" t="str">
        <f t="shared" si="18"/>
        <v/>
      </c>
      <c r="N44" s="5" t="str">
        <f t="shared" si="18"/>
        <v/>
      </c>
      <c r="O44" s="5" t="str">
        <f t="shared" si="18"/>
        <v/>
      </c>
      <c r="P44" s="5" t="str">
        <f t="shared" si="18"/>
        <v/>
      </c>
      <c r="Q44" s="5" t="str">
        <f t="shared" si="18"/>
        <v/>
      </c>
      <c r="S44" t="s">
        <v>8</v>
      </c>
      <c r="T44" s="22" t="s">
        <v>99</v>
      </c>
      <c r="U44" s="28">
        <v>9</v>
      </c>
      <c r="V44" s="6" t="e">
        <f>#REF!</f>
        <v>#REF!</v>
      </c>
      <c r="W44" s="6" t="e">
        <f>#REF!</f>
        <v>#REF!</v>
      </c>
      <c r="X44" s="6">
        <f>$T$3</f>
        <v>0.255</v>
      </c>
      <c r="Z44" s="24" t="s">
        <v>62</v>
      </c>
      <c r="AA44" s="4">
        <f>VLOOKUP(AA$43,$A$6:$B$125,2, FALSE)</f>
        <v>337</v>
      </c>
      <c r="AB44" s="4">
        <f>VLOOKUP(AB$43,$A$6:$B$125,2, FALSE)</f>
        <v>702</v>
      </c>
      <c r="AC44" s="4">
        <f t="shared" ref="AC44:AJ44" si="20">VLOOKUP(AC$43,$A$6:$B$125,2, FALSE)</f>
        <v>1067</v>
      </c>
      <c r="AD44" s="4">
        <f t="shared" si="20"/>
        <v>1432</v>
      </c>
      <c r="AE44" s="4">
        <f t="shared" si="20"/>
        <v>1798</v>
      </c>
      <c r="AF44" s="4">
        <f t="shared" si="20"/>
        <v>1798</v>
      </c>
      <c r="AG44" s="4">
        <f t="shared" si="20"/>
        <v>1798</v>
      </c>
      <c r="AH44" s="4">
        <f t="shared" si="20"/>
        <v>1798</v>
      </c>
      <c r="AI44" s="4">
        <f t="shared" si="20"/>
        <v>1798</v>
      </c>
      <c r="AJ44" s="4">
        <f t="shared" si="20"/>
        <v>1798</v>
      </c>
    </row>
    <row r="45" spans="1:36" x14ac:dyDescent="0.25">
      <c r="A45" s="22">
        <v>40</v>
      </c>
      <c r="B45" s="4">
        <f t="shared" si="3"/>
        <v>1188</v>
      </c>
      <c r="C45" s="4" t="str">
        <f t="shared" si="0"/>
        <v>Academic</v>
      </c>
      <c r="D45" t="str">
        <f t="shared" si="4"/>
        <v>FY 1903</v>
      </c>
      <c r="E45" t="e">
        <f>IF(OR(D45=#REF!,D45=$T$1,D45=$U$1),D45,IF(RIGHT(D45,4)&gt;RIGHT($U$1,4),$U$1,IF(D45="","",#REF!)))</f>
        <v>#REF!</v>
      </c>
      <c r="F45" t="str">
        <f t="shared" si="7"/>
        <v>AY 1902-1903</v>
      </c>
      <c r="G45" s="2" t="str">
        <f t="shared" si="15"/>
        <v/>
      </c>
      <c r="H45" s="2" t="str">
        <f t="shared" si="15"/>
        <v/>
      </c>
      <c r="I45" s="2" t="str">
        <f t="shared" si="15"/>
        <v/>
      </c>
      <c r="J45" s="2" t="str">
        <f t="shared" si="5"/>
        <v>Year 4</v>
      </c>
      <c r="K45" s="5" t="str">
        <f t="shared" si="18"/>
        <v/>
      </c>
      <c r="L45" s="5" t="str">
        <f t="shared" si="18"/>
        <v/>
      </c>
      <c r="M45" s="5" t="str">
        <f t="shared" si="18"/>
        <v/>
      </c>
      <c r="N45" s="5" t="str">
        <f t="shared" si="18"/>
        <v/>
      </c>
      <c r="O45" s="5" t="str">
        <f t="shared" si="18"/>
        <v/>
      </c>
      <c r="P45" s="5" t="str">
        <f t="shared" si="18"/>
        <v/>
      </c>
      <c r="Q45" s="5" t="str">
        <f t="shared" si="18"/>
        <v/>
      </c>
      <c r="S45" t="s">
        <v>191</v>
      </c>
      <c r="T45" t="s">
        <v>190</v>
      </c>
      <c r="U45">
        <v>12</v>
      </c>
      <c r="V45" s="6" t="e">
        <f>#REF!</f>
        <v>#REF!</v>
      </c>
      <c r="W45" s="6" t="e">
        <f>#REF!</f>
        <v>#REF!</v>
      </c>
      <c r="X45" s="6">
        <f>$T$3</f>
        <v>0.255</v>
      </c>
      <c r="Z45" s="24" t="s">
        <v>168</v>
      </c>
      <c r="AA45" s="4">
        <f t="shared" ref="AA45:AJ45" si="21">IF(AA44=Z44,"",AA44)</f>
        <v>337</v>
      </c>
      <c r="AB45" s="4">
        <f t="shared" si="21"/>
        <v>702</v>
      </c>
      <c r="AC45" s="4">
        <f t="shared" si="21"/>
        <v>1067</v>
      </c>
      <c r="AD45" s="4">
        <f t="shared" si="21"/>
        <v>1432</v>
      </c>
      <c r="AE45" s="4">
        <f t="shared" si="21"/>
        <v>1798</v>
      </c>
      <c r="AF45" s="4" t="str">
        <f t="shared" si="21"/>
        <v/>
      </c>
      <c r="AG45" s="4" t="str">
        <f t="shared" si="21"/>
        <v/>
      </c>
      <c r="AH45" s="4" t="str">
        <f t="shared" si="21"/>
        <v/>
      </c>
      <c r="AI45" s="4" t="str">
        <f t="shared" si="21"/>
        <v/>
      </c>
      <c r="AJ45" s="4" t="str">
        <f t="shared" si="21"/>
        <v/>
      </c>
    </row>
    <row r="46" spans="1:36" x14ac:dyDescent="0.25">
      <c r="A46" s="22">
        <v>41</v>
      </c>
      <c r="B46" s="4">
        <f t="shared" si="3"/>
        <v>1218</v>
      </c>
      <c r="C46" s="4" t="str">
        <f t="shared" si="0"/>
        <v>Academic</v>
      </c>
      <c r="D46" t="str">
        <f t="shared" si="4"/>
        <v>FY 1903</v>
      </c>
      <c r="E46" t="e">
        <f>IF(OR(D46=#REF!,D46=$T$1,D46=$U$1),D46,IF(RIGHT(D46,4)&gt;RIGHT($U$1,4),$U$1,IF(D46="","",#REF!)))</f>
        <v>#REF!</v>
      </c>
      <c r="F46" t="str">
        <f t="shared" si="7"/>
        <v>AY 1902-1903</v>
      </c>
      <c r="G46" s="2" t="str">
        <f t="shared" ref="G46:I65" si="22">IF(ISERROR(INDEX($AB$17:$AD$34, MATCH($F46,$AA$17:$AA$34,0), MATCH(G$5,$AB$16:$AD$16,0))),"",INDEX($AB$17:$AD$34, MATCH($F46,$AA$17:$AA$34,0), MATCH(G$5,$AB$16:$AD$16,0)))</f>
        <v/>
      </c>
      <c r="H46" s="2" t="str">
        <f t="shared" si="22"/>
        <v/>
      </c>
      <c r="I46" s="2" t="str">
        <f t="shared" si="22"/>
        <v/>
      </c>
      <c r="J46" s="2" t="str">
        <f t="shared" si="5"/>
        <v>Year 4</v>
      </c>
      <c r="K46" s="5" t="str">
        <f t="shared" ref="K46:Q55" si="23">IF(ISERROR(IF(RIGHT($E46,4)&gt;RIGHT($U$1,4),INDEX($V$43:$X$55,MATCH(K$5,$T$43:$T$55,0),MATCH($U$1,$V$42:$X$42,0)),INDEX($V$43:$X$55,MATCH(K$5,$T$43:$T$55,0),MATCH($E46,$V$42:$X$42,0)))),"",
IF(OR(K$5="FTS",K$5="PTU",K$5="PTS",K$5="PTG"),
IF($C46="Summer",
IF(RIGHT($E46,4)&gt;RIGHT($U$1,4),INDEX($V$43:$X$55,MATCH(K$5,$T$43:$T$55,0),MATCH($U$1,$V$42:$X$42,0)),INDEX($V$43:$X$55,MATCH(K$5,$T$43:$T$55,0),MATCH($E46,$V$42:$X$42,0))),0),IF(RIGHT($E46,4)&gt;RIGHT($U$1,4),INDEX($V$43:$X$55,MATCH(K$5,$T$43:$T$55,0),MATCH($U$1,$V$42:$X$42,0)),INDEX($V$43:$X$55,MATCH(K$5,$T$43:$T$55,0),MATCH($E46,$V$42:$X$42,0)))))</f>
        <v/>
      </c>
      <c r="L46" s="5" t="str">
        <f t="shared" si="23"/>
        <v/>
      </c>
      <c r="M46" s="5" t="str">
        <f t="shared" si="23"/>
        <v/>
      </c>
      <c r="N46" s="5" t="str">
        <f t="shared" si="23"/>
        <v/>
      </c>
      <c r="O46" s="5" t="str">
        <f t="shared" si="23"/>
        <v/>
      </c>
      <c r="P46" s="5" t="str">
        <f t="shared" si="23"/>
        <v/>
      </c>
      <c r="Q46" s="5" t="str">
        <f t="shared" si="23"/>
        <v/>
      </c>
      <c r="S46" t="s">
        <v>101</v>
      </c>
      <c r="T46" s="22" t="s">
        <v>95</v>
      </c>
      <c r="U46" s="28">
        <v>3</v>
      </c>
      <c r="V46" s="5">
        <v>0.17</v>
      </c>
      <c r="W46" s="5">
        <v>0.17</v>
      </c>
      <c r="X46" s="6">
        <v>0.17</v>
      </c>
    </row>
    <row r="47" spans="1:36" x14ac:dyDescent="0.25">
      <c r="A47" s="22">
        <v>42</v>
      </c>
      <c r="B47" s="4">
        <f t="shared" si="3"/>
        <v>1249</v>
      </c>
      <c r="C47" s="4" t="str">
        <f t="shared" si="0"/>
        <v>Summer</v>
      </c>
      <c r="D47" t="str">
        <f t="shared" si="4"/>
        <v>FY 1903</v>
      </c>
      <c r="E47" t="e">
        <f>IF(OR(D47=#REF!,D47=$T$1,D47=$U$1),D47,IF(RIGHT(D47,4)&gt;RIGHT($U$1,4),$U$1,IF(D47="","",#REF!)))</f>
        <v>#REF!</v>
      </c>
      <c r="F47" t="str">
        <f t="shared" si="7"/>
        <v>SU 1902-1903</v>
      </c>
      <c r="G47" s="2" t="str">
        <f t="shared" si="22"/>
        <v/>
      </c>
      <c r="H47" s="2" t="str">
        <f t="shared" si="22"/>
        <v/>
      </c>
      <c r="I47" s="2" t="str">
        <f t="shared" si="22"/>
        <v/>
      </c>
      <c r="J47" s="2" t="str">
        <f t="shared" si="5"/>
        <v>Year 4</v>
      </c>
      <c r="K47" s="5" t="str">
        <f t="shared" si="23"/>
        <v/>
      </c>
      <c r="L47" s="5" t="str">
        <f t="shared" si="23"/>
        <v/>
      </c>
      <c r="M47" s="5" t="str">
        <f t="shared" si="23"/>
        <v/>
      </c>
      <c r="N47" s="5" t="str">
        <f t="shared" si="23"/>
        <v/>
      </c>
      <c r="O47" s="5" t="str">
        <f t="shared" si="23"/>
        <v/>
      </c>
      <c r="P47" s="5" t="str">
        <f t="shared" si="23"/>
        <v/>
      </c>
      <c r="Q47" s="5" t="str">
        <f t="shared" si="23"/>
        <v/>
      </c>
      <c r="S47" t="s">
        <v>102</v>
      </c>
      <c r="T47" s="22" t="s">
        <v>99</v>
      </c>
      <c r="U47" s="28">
        <v>9</v>
      </c>
      <c r="V47" s="6" t="e">
        <f>#REF!</f>
        <v>#REF!</v>
      </c>
      <c r="W47" s="6" t="e">
        <f>#REF!</f>
        <v>#REF!</v>
      </c>
      <c r="X47" s="6">
        <f>$T$3</f>
        <v>0.255</v>
      </c>
    </row>
    <row r="48" spans="1:36" x14ac:dyDescent="0.25">
      <c r="A48" s="22">
        <v>43</v>
      </c>
      <c r="B48" s="4">
        <f>IF($H$2&gt;=A48,DATE(YEAR(B47),MONTH(B47)+1,DAY(B47)),"")</f>
        <v>1279</v>
      </c>
      <c r="C48" s="4" t="str">
        <f t="shared" si="0"/>
        <v>Summer</v>
      </c>
      <c r="D48" t="str">
        <f t="shared" si="4"/>
        <v>FY 1904</v>
      </c>
      <c r="E48" t="e">
        <f>IF(OR(D48=#REF!,D48=$T$1,D48=$U$1),D48,IF(RIGHT(D48,4)&gt;RIGHT($U$1,4),$U$1,IF(D48="","",#REF!)))</f>
        <v>#REF!</v>
      </c>
      <c r="F48" t="str">
        <f t="shared" si="7"/>
        <v>SU 1902-1903</v>
      </c>
      <c r="G48" s="2" t="str">
        <f t="shared" si="22"/>
        <v/>
      </c>
      <c r="H48" s="2" t="str">
        <f t="shared" si="22"/>
        <v/>
      </c>
      <c r="I48" s="2" t="str">
        <f t="shared" si="22"/>
        <v/>
      </c>
      <c r="J48" s="2" t="str">
        <f t="shared" si="5"/>
        <v>Year 4</v>
      </c>
      <c r="K48" s="5" t="str">
        <f t="shared" si="23"/>
        <v/>
      </c>
      <c r="L48" s="5" t="str">
        <f t="shared" si="23"/>
        <v/>
      </c>
      <c r="M48" s="5" t="str">
        <f t="shared" si="23"/>
        <v/>
      </c>
      <c r="N48" s="5" t="str">
        <f t="shared" si="23"/>
        <v/>
      </c>
      <c r="O48" s="5" t="str">
        <f t="shared" si="23"/>
        <v/>
      </c>
      <c r="P48" s="5" t="str">
        <f t="shared" si="23"/>
        <v/>
      </c>
      <c r="Q48" s="5" t="str">
        <f t="shared" si="23"/>
        <v/>
      </c>
      <c r="S48" t="s">
        <v>192</v>
      </c>
      <c r="T48" s="22" t="s">
        <v>190</v>
      </c>
      <c r="U48" s="28">
        <v>12</v>
      </c>
      <c r="V48" s="6" t="e">
        <f>#REF!</f>
        <v>#REF!</v>
      </c>
      <c r="W48" s="6" t="e">
        <f>#REF!</f>
        <v>#REF!</v>
      </c>
      <c r="X48" s="6">
        <f>$T$3</f>
        <v>0.255</v>
      </c>
      <c r="Y48" s="21"/>
    </row>
    <row r="49" spans="1:26" x14ac:dyDescent="0.25">
      <c r="A49" s="22">
        <v>44</v>
      </c>
      <c r="B49" s="4">
        <f t="shared" si="3"/>
        <v>1310</v>
      </c>
      <c r="C49" s="4" t="str">
        <f t="shared" si="0"/>
        <v>Summer</v>
      </c>
      <c r="D49" t="str">
        <f t="shared" si="4"/>
        <v>FY 1904</v>
      </c>
      <c r="E49" t="e">
        <f>IF(OR(D49=#REF!,D49=$T$1,D49=$U$1),D49,IF(RIGHT(D49,4)&gt;RIGHT($U$1,4),$U$1,IF(D49="","",#REF!)))</f>
        <v>#REF!</v>
      </c>
      <c r="F49" t="str">
        <f t="shared" si="7"/>
        <v>SU 1902-1903</v>
      </c>
      <c r="G49" s="2" t="str">
        <f t="shared" si="22"/>
        <v/>
      </c>
      <c r="H49" s="2" t="str">
        <f t="shared" si="22"/>
        <v/>
      </c>
      <c r="I49" s="2" t="str">
        <f t="shared" si="22"/>
        <v/>
      </c>
      <c r="J49" s="2" t="str">
        <f t="shared" si="5"/>
        <v>Year 4</v>
      </c>
      <c r="K49" s="5" t="str">
        <f t="shared" si="23"/>
        <v/>
      </c>
      <c r="L49" s="5" t="str">
        <f t="shared" si="23"/>
        <v/>
      </c>
      <c r="M49" s="5" t="str">
        <f t="shared" si="23"/>
        <v/>
      </c>
      <c r="N49" s="5" t="str">
        <f t="shared" si="23"/>
        <v/>
      </c>
      <c r="O49" s="5" t="str">
        <f t="shared" si="23"/>
        <v/>
      </c>
      <c r="P49" s="5" t="str">
        <f t="shared" si="23"/>
        <v/>
      </c>
      <c r="Q49" s="5" t="str">
        <f t="shared" si="23"/>
        <v/>
      </c>
      <c r="S49" t="s">
        <v>17</v>
      </c>
      <c r="T49" s="22" t="s">
        <v>108</v>
      </c>
      <c r="U49" s="28">
        <v>3</v>
      </c>
      <c r="V49" s="6">
        <f>$Y$3</f>
        <v>0</v>
      </c>
      <c r="W49" s="6">
        <f>$Z$3</f>
        <v>0.08</v>
      </c>
      <c r="X49" s="27">
        <f>$AA$3</f>
        <v>8.3000000000000004E-2</v>
      </c>
      <c r="Y49" s="21"/>
    </row>
    <row r="50" spans="1:26" x14ac:dyDescent="0.25">
      <c r="A50" s="22">
        <v>45</v>
      </c>
      <c r="B50" s="4">
        <f t="shared" si="3"/>
        <v>1341</v>
      </c>
      <c r="C50" s="4" t="str">
        <f t="shared" si="0"/>
        <v>Academic</v>
      </c>
      <c r="D50" t="str">
        <f t="shared" si="4"/>
        <v>FY 1904</v>
      </c>
      <c r="E50" t="e">
        <f>IF(OR(D50=#REF!,D50=$T$1,D50=$U$1),D50,IF(RIGHT(D50,4)&gt;RIGHT($U$1,4),$U$1,IF(D50="","",#REF!)))</f>
        <v>#REF!</v>
      </c>
      <c r="F50" t="str">
        <f t="shared" si="7"/>
        <v>AY 1903-1904</v>
      </c>
      <c r="G50" s="2" t="str">
        <f t="shared" si="22"/>
        <v/>
      </c>
      <c r="H50" s="2" t="str">
        <f t="shared" si="22"/>
        <v/>
      </c>
      <c r="I50" s="2" t="str">
        <f t="shared" si="22"/>
        <v/>
      </c>
      <c r="J50" s="2" t="str">
        <f t="shared" si="5"/>
        <v>Year 4</v>
      </c>
      <c r="K50" s="5" t="str">
        <f t="shared" si="23"/>
        <v/>
      </c>
      <c r="L50" s="5" t="str">
        <f t="shared" si="23"/>
        <v/>
      </c>
      <c r="M50" s="5" t="str">
        <f t="shared" si="23"/>
        <v/>
      </c>
      <c r="N50" s="5" t="str">
        <f t="shared" si="23"/>
        <v/>
      </c>
      <c r="O50" s="5" t="str">
        <f t="shared" si="23"/>
        <v/>
      </c>
      <c r="P50" s="5" t="str">
        <f t="shared" si="23"/>
        <v/>
      </c>
      <c r="Q50" s="5" t="str">
        <f t="shared" si="23"/>
        <v/>
      </c>
      <c r="S50" t="s">
        <v>15</v>
      </c>
      <c r="T50" s="22" t="s">
        <v>107</v>
      </c>
      <c r="U50" s="29">
        <v>12</v>
      </c>
      <c r="V50" s="6">
        <f>$Y$3</f>
        <v>0</v>
      </c>
      <c r="W50" s="6">
        <f>$Z$3</f>
        <v>0.08</v>
      </c>
      <c r="X50" s="27">
        <f>$AA$3</f>
        <v>8.3000000000000004E-2</v>
      </c>
      <c r="Y50" s="21"/>
    </row>
    <row r="51" spans="1:26" x14ac:dyDescent="0.25">
      <c r="A51" s="22">
        <v>46</v>
      </c>
      <c r="B51" s="4">
        <f t="shared" si="3"/>
        <v>1371</v>
      </c>
      <c r="C51" s="4" t="str">
        <f t="shared" si="0"/>
        <v>Academic</v>
      </c>
      <c r="D51" t="str">
        <f t="shared" si="4"/>
        <v>FY 1904</v>
      </c>
      <c r="E51" t="e">
        <f>IF(OR(D51=#REF!,D51=$T$1,D51=$U$1),D51,IF(RIGHT(D51,4)&gt;RIGHT($U$1,4),$U$1,IF(D51="","",#REF!)))</f>
        <v>#REF!</v>
      </c>
      <c r="F51" t="str">
        <f t="shared" si="7"/>
        <v>AY 1903-1904</v>
      </c>
      <c r="G51" s="2" t="str">
        <f t="shared" si="22"/>
        <v/>
      </c>
      <c r="H51" s="2" t="str">
        <f t="shared" si="22"/>
        <v/>
      </c>
      <c r="I51" s="2" t="str">
        <f t="shared" si="22"/>
        <v/>
      </c>
      <c r="J51" s="2" t="str">
        <f t="shared" si="5"/>
        <v>Year 4</v>
      </c>
      <c r="K51" s="5" t="str">
        <f t="shared" si="23"/>
        <v/>
      </c>
      <c r="L51" s="5" t="str">
        <f t="shared" si="23"/>
        <v/>
      </c>
      <c r="M51" s="5" t="str">
        <f t="shared" si="23"/>
        <v/>
      </c>
      <c r="N51" s="5" t="str">
        <f t="shared" si="23"/>
        <v/>
      </c>
      <c r="O51" s="5" t="str">
        <f t="shared" si="23"/>
        <v/>
      </c>
      <c r="P51" s="5" t="str">
        <f t="shared" si="23"/>
        <v/>
      </c>
      <c r="Q51" s="5" t="str">
        <f t="shared" si="23"/>
        <v/>
      </c>
      <c r="S51" t="s">
        <v>154</v>
      </c>
      <c r="T51" s="22" t="s">
        <v>157</v>
      </c>
      <c r="U51" s="29">
        <v>9</v>
      </c>
      <c r="V51" s="6">
        <v>0</v>
      </c>
      <c r="W51" s="6">
        <v>0</v>
      </c>
      <c r="X51" s="27">
        <v>0</v>
      </c>
      <c r="Y51" s="21"/>
    </row>
    <row r="52" spans="1:26" x14ac:dyDescent="0.25">
      <c r="A52" s="22">
        <v>47</v>
      </c>
      <c r="B52" s="4">
        <f t="shared" si="3"/>
        <v>1402</v>
      </c>
      <c r="C52" s="4" t="str">
        <f t="shared" si="0"/>
        <v>Academic</v>
      </c>
      <c r="D52" t="str">
        <f t="shared" si="4"/>
        <v>FY 1904</v>
      </c>
      <c r="E52" t="e">
        <f>IF(OR(D52=#REF!,D52=$T$1,D52=$U$1),D52,IF(RIGHT(D52,4)&gt;RIGHT($U$1,4),$U$1,IF(D52="","",#REF!)))</f>
        <v>#REF!</v>
      </c>
      <c r="F52" t="str">
        <f t="shared" si="7"/>
        <v>AY 1903-1904</v>
      </c>
      <c r="G52" s="2" t="str">
        <f t="shared" si="22"/>
        <v/>
      </c>
      <c r="H52" s="2" t="str">
        <f t="shared" si="22"/>
        <v/>
      </c>
      <c r="I52" s="2" t="str">
        <f t="shared" si="22"/>
        <v/>
      </c>
      <c r="J52" s="2" t="str">
        <f t="shared" si="5"/>
        <v>Year 4</v>
      </c>
      <c r="K52" s="5" t="str">
        <f t="shared" si="23"/>
        <v/>
      </c>
      <c r="L52" s="5" t="str">
        <f t="shared" si="23"/>
        <v/>
      </c>
      <c r="M52" s="5" t="str">
        <f t="shared" si="23"/>
        <v/>
      </c>
      <c r="N52" s="5" t="str">
        <f t="shared" si="23"/>
        <v/>
      </c>
      <c r="O52" s="5" t="str">
        <f t="shared" si="23"/>
        <v/>
      </c>
      <c r="P52" s="5" t="str">
        <f t="shared" si="23"/>
        <v/>
      </c>
      <c r="Q52" s="5" t="str">
        <f t="shared" si="23"/>
        <v/>
      </c>
      <c r="S52" t="s">
        <v>153</v>
      </c>
      <c r="T52" s="22" t="s">
        <v>96</v>
      </c>
      <c r="U52" s="29">
        <v>3</v>
      </c>
      <c r="V52" s="6">
        <f>$Y$3</f>
        <v>0</v>
      </c>
      <c r="W52" s="6">
        <f>$Z$3</f>
        <v>0.08</v>
      </c>
      <c r="X52" s="27">
        <f>$AA$3</f>
        <v>8.3000000000000004E-2</v>
      </c>
      <c r="Y52" s="21"/>
      <c r="Z52" s="21"/>
    </row>
    <row r="53" spans="1:26" x14ac:dyDescent="0.25">
      <c r="A53" s="22">
        <v>48</v>
      </c>
      <c r="B53" s="4">
        <f t="shared" si="3"/>
        <v>1432</v>
      </c>
      <c r="C53" s="4" t="str">
        <f t="shared" si="0"/>
        <v>Academic</v>
      </c>
      <c r="D53" t="str">
        <f t="shared" si="4"/>
        <v>FY 1904</v>
      </c>
      <c r="E53" t="e">
        <f>IF(OR(D53=#REF!,D53=$T$1,D53=$U$1),D53,IF(RIGHT(D53,4)&gt;RIGHT($U$1,4),$U$1,IF(D53="","",#REF!)))</f>
        <v>#REF!</v>
      </c>
      <c r="F53" t="str">
        <f t="shared" si="7"/>
        <v>AY 1903-1904</v>
      </c>
      <c r="G53" s="2" t="str">
        <f t="shared" si="22"/>
        <v/>
      </c>
      <c r="H53" s="2" t="str">
        <f t="shared" si="22"/>
        <v/>
      </c>
      <c r="I53" s="2" t="str">
        <f t="shared" si="22"/>
        <v/>
      </c>
      <c r="J53" s="2" t="str">
        <f t="shared" si="5"/>
        <v>Year 4</v>
      </c>
      <c r="K53" s="5" t="str">
        <f t="shared" si="23"/>
        <v/>
      </c>
      <c r="L53" s="5" t="str">
        <f t="shared" si="23"/>
        <v/>
      </c>
      <c r="M53" s="5" t="str">
        <f t="shared" si="23"/>
        <v/>
      </c>
      <c r="N53" s="5" t="str">
        <f t="shared" si="23"/>
        <v/>
      </c>
      <c r="O53" s="5" t="str">
        <f t="shared" si="23"/>
        <v/>
      </c>
      <c r="P53" s="5" t="str">
        <f t="shared" si="23"/>
        <v/>
      </c>
      <c r="Q53" s="5" t="str">
        <f t="shared" si="23"/>
        <v/>
      </c>
      <c r="S53" t="s">
        <v>103</v>
      </c>
      <c r="T53" s="22" t="s">
        <v>95</v>
      </c>
      <c r="U53" s="28">
        <v>3</v>
      </c>
      <c r="V53" s="5" t="e">
        <f>#REF!</f>
        <v>#REF!</v>
      </c>
      <c r="W53" s="5">
        <f>$T$2</f>
        <v>0.17</v>
      </c>
      <c r="X53" s="6">
        <f>$U$2</f>
        <v>0.17100000000000001</v>
      </c>
      <c r="Y53" s="25"/>
    </row>
    <row r="54" spans="1:26" x14ac:dyDescent="0.25">
      <c r="A54" s="22">
        <v>49</v>
      </c>
      <c r="B54" s="4">
        <f t="shared" si="3"/>
        <v>1463</v>
      </c>
      <c r="C54" s="4" t="str">
        <f t="shared" si="0"/>
        <v>Academic</v>
      </c>
      <c r="D54" t="str">
        <f t="shared" si="4"/>
        <v>FY 1904</v>
      </c>
      <c r="E54" t="e">
        <f>IF(OR(D54=#REF!,D54=$T$1,D54=$U$1),D54,IF(RIGHT(D54,4)&gt;RIGHT($U$1,4),$U$1,IF(D54="","",#REF!)))</f>
        <v>#REF!</v>
      </c>
      <c r="F54" t="str">
        <f t="shared" si="7"/>
        <v>AY 1903-1904</v>
      </c>
      <c r="G54" s="2" t="str">
        <f t="shared" si="22"/>
        <v/>
      </c>
      <c r="H54" s="2" t="str">
        <f t="shared" si="22"/>
        <v/>
      </c>
      <c r="I54" s="2" t="str">
        <f t="shared" si="22"/>
        <v/>
      </c>
      <c r="J54" s="2" t="str">
        <f t="shared" si="5"/>
        <v>Year 5</v>
      </c>
      <c r="K54" s="5" t="str">
        <f t="shared" si="23"/>
        <v/>
      </c>
      <c r="L54" s="5" t="str">
        <f t="shared" si="23"/>
        <v/>
      </c>
      <c r="M54" s="5" t="str">
        <f t="shared" si="23"/>
        <v/>
      </c>
      <c r="N54" s="5" t="str">
        <f t="shared" si="23"/>
        <v/>
      </c>
      <c r="O54" s="5" t="str">
        <f t="shared" si="23"/>
        <v/>
      </c>
      <c r="P54" s="5" t="str">
        <f t="shared" si="23"/>
        <v/>
      </c>
      <c r="Q54" s="5" t="str">
        <f t="shared" si="23"/>
        <v/>
      </c>
      <c r="S54" t="s">
        <v>104</v>
      </c>
      <c r="T54" s="22" t="s">
        <v>99</v>
      </c>
      <c r="U54" s="28">
        <v>9</v>
      </c>
      <c r="V54" s="6" t="e">
        <f>#REF!</f>
        <v>#REF!</v>
      </c>
      <c r="W54" s="6" t="e">
        <f>#REF!</f>
        <v>#REF!</v>
      </c>
      <c r="X54" s="6">
        <f>$T$3</f>
        <v>0.255</v>
      </c>
      <c r="Y54" s="6"/>
    </row>
    <row r="55" spans="1:26" x14ac:dyDescent="0.25">
      <c r="A55" s="22">
        <v>50</v>
      </c>
      <c r="B55" s="4">
        <f t="shared" si="3"/>
        <v>1494</v>
      </c>
      <c r="C55" s="4" t="str">
        <f t="shared" si="0"/>
        <v>Academic</v>
      </c>
      <c r="D55" t="str">
        <f t="shared" si="4"/>
        <v>FY 1904</v>
      </c>
      <c r="E55" t="e">
        <f>IF(OR(D55=#REF!,D55=$T$1,D55=$U$1),D55,IF(RIGHT(D55,4)&gt;RIGHT($U$1,4),$U$1,IF(D55="","",#REF!)))</f>
        <v>#REF!</v>
      </c>
      <c r="F55" t="str">
        <f t="shared" si="7"/>
        <v>AY 1903-1904</v>
      </c>
      <c r="G55" s="2" t="str">
        <f t="shared" si="22"/>
        <v/>
      </c>
      <c r="H55" s="2" t="str">
        <f t="shared" si="22"/>
        <v/>
      </c>
      <c r="I55" s="2" t="str">
        <f t="shared" si="22"/>
        <v/>
      </c>
      <c r="J55" s="2" t="str">
        <f t="shared" si="5"/>
        <v>Year 5</v>
      </c>
      <c r="K55" s="5" t="str">
        <f t="shared" si="23"/>
        <v/>
      </c>
      <c r="L55" s="5" t="str">
        <f t="shared" si="23"/>
        <v/>
      </c>
      <c r="M55" s="5" t="str">
        <f t="shared" si="23"/>
        <v/>
      </c>
      <c r="N55" s="5" t="str">
        <f t="shared" si="23"/>
        <v/>
      </c>
      <c r="O55" s="5" t="str">
        <f t="shared" si="23"/>
        <v/>
      </c>
      <c r="P55" s="5" t="str">
        <f t="shared" si="23"/>
        <v/>
      </c>
      <c r="Q55" s="5" t="str">
        <f t="shared" si="23"/>
        <v/>
      </c>
      <c r="S55" t="s">
        <v>155</v>
      </c>
      <c r="T55" s="22" t="s">
        <v>100</v>
      </c>
      <c r="U55" s="28">
        <v>12</v>
      </c>
      <c r="V55" s="6">
        <f>$Y$2</f>
        <v>0</v>
      </c>
      <c r="W55" s="6">
        <f>$Z$2</f>
        <v>0.18</v>
      </c>
      <c r="X55" s="6">
        <f>$AA$2</f>
        <v>0.17799999999999999</v>
      </c>
      <c r="Y55" s="6"/>
    </row>
    <row r="56" spans="1:26" x14ac:dyDescent="0.25">
      <c r="A56" s="22">
        <v>51</v>
      </c>
      <c r="B56" s="4">
        <f t="shared" si="3"/>
        <v>1523</v>
      </c>
      <c r="C56" s="4" t="str">
        <f t="shared" si="0"/>
        <v>Academic</v>
      </c>
      <c r="D56" t="str">
        <f t="shared" si="4"/>
        <v>FY 1904</v>
      </c>
      <c r="E56" t="e">
        <f>IF(OR(D56=#REF!,D56=$T$1,D56=$U$1),D56,IF(RIGHT(D56,4)&gt;RIGHT($U$1,4),$U$1,IF(D56="","",#REF!)))</f>
        <v>#REF!</v>
      </c>
      <c r="F56" t="str">
        <f t="shared" si="7"/>
        <v>AY 1903-1904</v>
      </c>
      <c r="G56" s="2" t="str">
        <f t="shared" si="22"/>
        <v/>
      </c>
      <c r="H56" s="2" t="str">
        <f t="shared" si="22"/>
        <v/>
      </c>
      <c r="I56" s="2" t="str">
        <f t="shared" si="22"/>
        <v/>
      </c>
      <c r="J56" s="2" t="str">
        <f t="shared" si="5"/>
        <v>Year 5</v>
      </c>
      <c r="K56" s="5" t="str">
        <f t="shared" ref="K56:Q65" si="24">IF(ISERROR(IF(RIGHT($E56,4)&gt;RIGHT($U$1,4),INDEX($V$43:$X$55,MATCH(K$5,$T$43:$T$55,0),MATCH($U$1,$V$42:$X$42,0)),INDEX($V$43:$X$55,MATCH(K$5,$T$43:$T$55,0),MATCH($E56,$V$42:$X$42,0)))),"",
IF(OR(K$5="FTS",K$5="PTU",K$5="PTS",K$5="PTG"),
IF($C56="Summer",
IF(RIGHT($E56,4)&gt;RIGHT($U$1,4),INDEX($V$43:$X$55,MATCH(K$5,$T$43:$T$55,0),MATCH($U$1,$V$42:$X$42,0)),INDEX($V$43:$X$55,MATCH(K$5,$T$43:$T$55,0),MATCH($E56,$V$42:$X$42,0))),0),IF(RIGHT($E56,4)&gt;RIGHT($U$1,4),INDEX($V$43:$X$55,MATCH(K$5,$T$43:$T$55,0),MATCH($U$1,$V$42:$X$42,0)),INDEX($V$43:$X$55,MATCH(K$5,$T$43:$T$55,0),MATCH($E56,$V$42:$X$42,0)))))</f>
        <v/>
      </c>
      <c r="L56" s="5" t="str">
        <f t="shared" si="24"/>
        <v/>
      </c>
      <c r="M56" s="5" t="str">
        <f t="shared" si="24"/>
        <v/>
      </c>
      <c r="N56" s="5" t="str">
        <f t="shared" si="24"/>
        <v/>
      </c>
      <c r="O56" s="5" t="str">
        <f t="shared" si="24"/>
        <v/>
      </c>
      <c r="P56" s="5" t="str">
        <f t="shared" si="24"/>
        <v/>
      </c>
      <c r="Q56" s="5" t="str">
        <f t="shared" si="24"/>
        <v/>
      </c>
      <c r="S56" s="22" t="s">
        <v>145</v>
      </c>
      <c r="T56" s="22" t="s">
        <v>146</v>
      </c>
      <c r="U56" s="28">
        <v>12</v>
      </c>
      <c r="V56" s="6">
        <f>AE2</f>
        <v>0</v>
      </c>
      <c r="W56" s="6">
        <f>AF2</f>
        <v>0</v>
      </c>
      <c r="X56" s="6">
        <f>AG2</f>
        <v>0</v>
      </c>
      <c r="Y56" s="6"/>
    </row>
    <row r="57" spans="1:26" x14ac:dyDescent="0.25">
      <c r="A57" s="22">
        <v>52</v>
      </c>
      <c r="B57" s="4">
        <f t="shared" si="3"/>
        <v>1554</v>
      </c>
      <c r="C57" s="4" t="str">
        <f t="shared" si="0"/>
        <v>Academic</v>
      </c>
      <c r="D57" t="str">
        <f t="shared" si="4"/>
        <v>FY 1904</v>
      </c>
      <c r="E57" t="e">
        <f>IF(OR(D57=#REF!,D57=$T$1,D57=$U$1),D57,IF(RIGHT(D57,4)&gt;RIGHT($U$1,4),$U$1,IF(D57="","",#REF!)))</f>
        <v>#REF!</v>
      </c>
      <c r="F57" t="str">
        <f t="shared" si="7"/>
        <v>AY 1903-1904</v>
      </c>
      <c r="G57" s="2" t="str">
        <f t="shared" si="22"/>
        <v/>
      </c>
      <c r="H57" s="2" t="str">
        <f t="shared" si="22"/>
        <v/>
      </c>
      <c r="I57" s="2" t="str">
        <f t="shared" si="22"/>
        <v/>
      </c>
      <c r="J57" s="2" t="str">
        <f t="shared" si="5"/>
        <v>Year 5</v>
      </c>
      <c r="K57" s="5" t="str">
        <f t="shared" si="24"/>
        <v/>
      </c>
      <c r="L57" s="5" t="str">
        <f t="shared" si="24"/>
        <v/>
      </c>
      <c r="M57" s="5" t="str">
        <f t="shared" si="24"/>
        <v/>
      </c>
      <c r="N57" s="5" t="str">
        <f t="shared" si="24"/>
        <v/>
      </c>
      <c r="O57" s="5" t="str">
        <f t="shared" si="24"/>
        <v/>
      </c>
      <c r="P57" s="5" t="str">
        <f t="shared" si="24"/>
        <v/>
      </c>
      <c r="Q57" s="5" t="str">
        <f t="shared" si="24"/>
        <v/>
      </c>
    </row>
    <row r="58" spans="1:26" x14ac:dyDescent="0.25">
      <c r="A58" s="22">
        <v>53</v>
      </c>
      <c r="B58" s="4">
        <f t="shared" si="3"/>
        <v>1584</v>
      </c>
      <c r="C58" s="4" t="str">
        <f t="shared" si="0"/>
        <v>Academic</v>
      </c>
      <c r="D58" t="str">
        <f t="shared" si="4"/>
        <v>FY 1904</v>
      </c>
      <c r="E58" t="e">
        <f>IF(OR(D58=#REF!,D58=$T$1,D58=$U$1),D58,IF(RIGHT(D58,4)&gt;RIGHT($U$1,4),$U$1,IF(D58="","",#REF!)))</f>
        <v>#REF!</v>
      </c>
      <c r="F58" t="str">
        <f t="shared" si="7"/>
        <v>AY 1903-1904</v>
      </c>
      <c r="G58" s="2" t="str">
        <f t="shared" si="22"/>
        <v/>
      </c>
      <c r="H58" s="2" t="str">
        <f t="shared" si="22"/>
        <v/>
      </c>
      <c r="I58" s="2" t="str">
        <f t="shared" si="22"/>
        <v/>
      </c>
      <c r="J58" s="2" t="str">
        <f t="shared" si="5"/>
        <v>Year 5</v>
      </c>
      <c r="K58" s="5" t="str">
        <f t="shared" si="24"/>
        <v/>
      </c>
      <c r="L58" s="5" t="str">
        <f t="shared" si="24"/>
        <v/>
      </c>
      <c r="M58" s="5" t="str">
        <f t="shared" si="24"/>
        <v/>
      </c>
      <c r="N58" s="5" t="str">
        <f t="shared" si="24"/>
        <v/>
      </c>
      <c r="O58" s="5" t="str">
        <f t="shared" si="24"/>
        <v/>
      </c>
      <c r="P58" s="5" t="str">
        <f t="shared" si="24"/>
        <v/>
      </c>
      <c r="Q58" s="5" t="str">
        <f t="shared" si="24"/>
        <v/>
      </c>
      <c r="S58" s="21" t="s">
        <v>114</v>
      </c>
    </row>
    <row r="59" spans="1:26" x14ac:dyDescent="0.25">
      <c r="A59" s="22">
        <v>54</v>
      </c>
      <c r="B59" s="4">
        <f t="shared" si="3"/>
        <v>1615</v>
      </c>
      <c r="C59" s="4" t="str">
        <f t="shared" si="0"/>
        <v>Summer</v>
      </c>
      <c r="D59" t="str">
        <f t="shared" si="4"/>
        <v>FY 1904</v>
      </c>
      <c r="E59" t="e">
        <f>IF(OR(D59=#REF!,D59=$T$1,D59=$U$1),D59,IF(RIGHT(D59,4)&gt;RIGHT($U$1,4),$U$1,IF(D59="","",#REF!)))</f>
        <v>#REF!</v>
      </c>
      <c r="F59" t="str">
        <f t="shared" si="7"/>
        <v>SU 1903-1904</v>
      </c>
      <c r="G59" s="2" t="str">
        <f t="shared" si="22"/>
        <v/>
      </c>
      <c r="H59" s="2" t="str">
        <f t="shared" si="22"/>
        <v/>
      </c>
      <c r="I59" s="2" t="str">
        <f t="shared" si="22"/>
        <v/>
      </c>
      <c r="J59" s="2" t="str">
        <f t="shared" si="5"/>
        <v>Year 5</v>
      </c>
      <c r="K59" s="5" t="str">
        <f t="shared" si="24"/>
        <v/>
      </c>
      <c r="L59" s="5" t="str">
        <f t="shared" si="24"/>
        <v/>
      </c>
      <c r="M59" s="5" t="str">
        <f t="shared" si="24"/>
        <v/>
      </c>
      <c r="N59" s="5" t="str">
        <f t="shared" si="24"/>
        <v/>
      </c>
      <c r="O59" s="5" t="str">
        <f t="shared" si="24"/>
        <v/>
      </c>
      <c r="P59" s="5" t="str">
        <f t="shared" si="24"/>
        <v/>
      </c>
      <c r="Q59" s="5" t="str">
        <f t="shared" si="24"/>
        <v/>
      </c>
      <c r="S59" s="21" t="s">
        <v>110</v>
      </c>
      <c r="T59" s="21" t="str">
        <f>IF($H$2&gt;0,"Year 1","")</f>
        <v>Year 1</v>
      </c>
      <c r="U59" s="21" t="str">
        <f>IF($H$2&gt;12,"Year 2","")</f>
        <v>Year 2</v>
      </c>
      <c r="V59" s="21" t="str">
        <f>IF($H$2&gt;24,"Year 3","")</f>
        <v>Year 3</v>
      </c>
      <c r="W59" s="21" t="str">
        <f>IF($H$2&gt;36,"Year 4","")</f>
        <v>Year 4</v>
      </c>
      <c r="X59" s="21" t="str">
        <f>IF($H$2&gt;48,"Year 5","")</f>
        <v>Year 5</v>
      </c>
    </row>
    <row r="60" spans="1:26" x14ac:dyDescent="0.25">
      <c r="A60" s="22">
        <v>55</v>
      </c>
      <c r="B60" s="4">
        <f t="shared" si="3"/>
        <v>1645</v>
      </c>
      <c r="C60" s="4" t="str">
        <f t="shared" si="0"/>
        <v>Summer</v>
      </c>
      <c r="D60" t="str">
        <f t="shared" si="4"/>
        <v>FY 1905</v>
      </c>
      <c r="E60" t="e">
        <f>IF(OR(D60=#REF!,D60=$T$1,D60=$U$1),D60,IF(RIGHT(D60,4)&gt;RIGHT($U$1,4),$U$1,IF(D60="","",#REF!)))</f>
        <v>#REF!</v>
      </c>
      <c r="F60" t="str">
        <f t="shared" si="7"/>
        <v>SU 1903-1904</v>
      </c>
      <c r="G60" s="2" t="str">
        <f t="shared" si="22"/>
        <v/>
      </c>
      <c r="H60" s="2" t="str">
        <f t="shared" si="22"/>
        <v/>
      </c>
      <c r="I60" s="2" t="str">
        <f t="shared" si="22"/>
        <v/>
      </c>
      <c r="J60" s="2" t="str">
        <f t="shared" si="5"/>
        <v>Year 5</v>
      </c>
      <c r="K60" s="5" t="str">
        <f t="shared" si="24"/>
        <v/>
      </c>
      <c r="L60" s="5" t="str">
        <f t="shared" si="24"/>
        <v/>
      </c>
      <c r="M60" s="5" t="str">
        <f t="shared" si="24"/>
        <v/>
      </c>
      <c r="N60" s="5" t="str">
        <f t="shared" si="24"/>
        <v/>
      </c>
      <c r="O60" s="5" t="str">
        <f t="shared" si="24"/>
        <v/>
      </c>
      <c r="P60" s="5" t="str">
        <f t="shared" si="24"/>
        <v/>
      </c>
      <c r="Q60" s="5" t="str">
        <f t="shared" si="24"/>
        <v/>
      </c>
      <c r="S60" s="21" t="s">
        <v>90</v>
      </c>
      <c r="T60">
        <f>COUNTIFS($E$6:$E$17,$S$60,$C$6:$C$17,"Summer")</f>
        <v>0</v>
      </c>
      <c r="U60">
        <f>COUNTIFS($E$18:$E$29,$S$60,$C$18:$C$29,"Summer")</f>
        <v>0</v>
      </c>
      <c r="V60">
        <f>COUNTIFS($E$30:$E$41,$S60,$C$30:$C$41,"Summer")</f>
        <v>0</v>
      </c>
      <c r="W60">
        <f>COUNTIFS($E$42:$E$53,$S60,$C$42:$C$53,"Summer")</f>
        <v>0</v>
      </c>
      <c r="X60">
        <f>COUNTIFS($E$54:$E$65,$S60,$C$54:$C$65,"Summer")</f>
        <v>0</v>
      </c>
    </row>
    <row r="61" spans="1:26" x14ac:dyDescent="0.25">
      <c r="A61" s="22">
        <v>56</v>
      </c>
      <c r="B61" s="4">
        <f t="shared" si="3"/>
        <v>1676</v>
      </c>
      <c r="C61" s="4" t="str">
        <f t="shared" si="0"/>
        <v>Summer</v>
      </c>
      <c r="D61" t="str">
        <f t="shared" si="4"/>
        <v>FY 1905</v>
      </c>
      <c r="E61" t="e">
        <f>IF(OR(D61=#REF!,D61=$T$1,D61=$U$1),D61,IF(RIGHT(D61,4)&gt;RIGHT($U$1,4),$U$1,IF(D61="","",#REF!)))</f>
        <v>#REF!</v>
      </c>
      <c r="F61" t="str">
        <f t="shared" si="7"/>
        <v>SU 1903-1904</v>
      </c>
      <c r="G61" s="2" t="str">
        <f t="shared" si="22"/>
        <v/>
      </c>
      <c r="H61" s="2" t="str">
        <f t="shared" si="22"/>
        <v/>
      </c>
      <c r="I61" s="2" t="str">
        <f t="shared" si="22"/>
        <v/>
      </c>
      <c r="J61" s="2" t="str">
        <f t="shared" si="5"/>
        <v>Year 5</v>
      </c>
      <c r="K61" s="5" t="str">
        <f t="shared" si="24"/>
        <v/>
      </c>
      <c r="L61" s="5" t="str">
        <f t="shared" si="24"/>
        <v/>
      </c>
      <c r="M61" s="5" t="str">
        <f t="shared" si="24"/>
        <v/>
      </c>
      <c r="N61" s="5" t="str">
        <f t="shared" si="24"/>
        <v/>
      </c>
      <c r="O61" s="5" t="str">
        <f t="shared" si="24"/>
        <v/>
      </c>
      <c r="P61" s="5" t="str">
        <f t="shared" si="24"/>
        <v/>
      </c>
      <c r="Q61" s="5" t="str">
        <f t="shared" si="24"/>
        <v/>
      </c>
      <c r="S61" s="21" t="s">
        <v>91</v>
      </c>
      <c r="T61">
        <f>COUNTIFS($E$6:$E$17,$S$61,$C$6:$C$17,"Summer")</f>
        <v>0</v>
      </c>
      <c r="U61">
        <f>COUNTIFS($E$18:$E$29,$S$61,$C$18:$C$29,"Summer")</f>
        <v>0</v>
      </c>
      <c r="V61">
        <f>COUNTIFS($E$30:$E$41,$S61,$C$30:$C$41,"Summer")</f>
        <v>0</v>
      </c>
      <c r="W61">
        <f>COUNTIFS($E$42:$E$53,$S61,$C$42:$C$53,"Summer")</f>
        <v>0</v>
      </c>
      <c r="X61">
        <f>COUNTIFS($E$54:$E$65,$S61,$C$54:$C$65,"Summer")</f>
        <v>0</v>
      </c>
    </row>
    <row r="62" spans="1:26" x14ac:dyDescent="0.25">
      <c r="A62" s="22">
        <v>57</v>
      </c>
      <c r="B62" s="4">
        <f t="shared" si="3"/>
        <v>1707</v>
      </c>
      <c r="C62" s="4" t="str">
        <f t="shared" si="0"/>
        <v>Academic</v>
      </c>
      <c r="D62" t="str">
        <f t="shared" si="4"/>
        <v>FY 1905</v>
      </c>
      <c r="E62" t="e">
        <f>IF(OR(D62=#REF!,D62=$T$1,D62=$U$1),D62,IF(RIGHT(D62,4)&gt;RIGHT($U$1,4),$U$1,IF(D62="","",#REF!)))</f>
        <v>#REF!</v>
      </c>
      <c r="F62" t="str">
        <f t="shared" si="7"/>
        <v>AY 1904-1905</v>
      </c>
      <c r="G62" s="2" t="str">
        <f t="shared" si="22"/>
        <v/>
      </c>
      <c r="H62" s="2" t="str">
        <f t="shared" si="22"/>
        <v/>
      </c>
      <c r="I62" s="2" t="str">
        <f t="shared" si="22"/>
        <v/>
      </c>
      <c r="J62" s="2" t="str">
        <f t="shared" si="5"/>
        <v>Year 5</v>
      </c>
      <c r="K62" s="5" t="str">
        <f t="shared" si="24"/>
        <v/>
      </c>
      <c r="L62" s="5" t="str">
        <f t="shared" si="24"/>
        <v/>
      </c>
      <c r="M62" s="5" t="str">
        <f t="shared" si="24"/>
        <v/>
      </c>
      <c r="N62" s="5" t="str">
        <f t="shared" si="24"/>
        <v/>
      </c>
      <c r="O62" s="5" t="str">
        <f t="shared" si="24"/>
        <v/>
      </c>
      <c r="P62" s="5" t="str">
        <f t="shared" si="24"/>
        <v/>
      </c>
      <c r="Q62" s="5" t="str">
        <f t="shared" si="24"/>
        <v/>
      </c>
      <c r="S62" s="21" t="s">
        <v>92</v>
      </c>
      <c r="T62">
        <f>COUNTIFS($E$6:$E$17,$S$62,$C$6:$C$17,"Summer")</f>
        <v>0</v>
      </c>
      <c r="U62">
        <f>COUNTIFS($E$18:$E$29,$S$62,$C$18:$C$29,"Summer")</f>
        <v>0</v>
      </c>
      <c r="V62">
        <f>COUNTIFS($E$30:$E$41,$S62,$C$30:$C$41,"Summer")</f>
        <v>0</v>
      </c>
      <c r="W62">
        <f>COUNTIFS($E$42:$E$53,$S62,$C$42:$C$53,"Summer")</f>
        <v>0</v>
      </c>
      <c r="X62">
        <f>COUNTIFS($E$54:$E$65,$S62,$C$54:$C$65,"Summer")</f>
        <v>0</v>
      </c>
    </row>
    <row r="63" spans="1:26" x14ac:dyDescent="0.25">
      <c r="A63" s="22">
        <v>58</v>
      </c>
      <c r="B63" s="4">
        <f t="shared" si="3"/>
        <v>1737</v>
      </c>
      <c r="C63" s="4" t="str">
        <f t="shared" si="0"/>
        <v>Academic</v>
      </c>
      <c r="D63" t="str">
        <f t="shared" si="4"/>
        <v>FY 1905</v>
      </c>
      <c r="E63" t="e">
        <f>IF(OR(D63=#REF!,D63=$T$1,D63=$U$1),D63,IF(RIGHT(D63,4)&gt;RIGHT($U$1,4),$U$1,IF(D63="","",#REF!)))</f>
        <v>#REF!</v>
      </c>
      <c r="F63" t="str">
        <f t="shared" si="7"/>
        <v>AY 1904-1905</v>
      </c>
      <c r="G63" s="2" t="str">
        <f t="shared" si="22"/>
        <v/>
      </c>
      <c r="H63" s="2" t="str">
        <f t="shared" si="22"/>
        <v/>
      </c>
      <c r="I63" s="2" t="str">
        <f t="shared" si="22"/>
        <v/>
      </c>
      <c r="J63" s="2" t="str">
        <f t="shared" si="5"/>
        <v>Year 5</v>
      </c>
      <c r="K63" s="5" t="str">
        <f t="shared" si="24"/>
        <v/>
      </c>
      <c r="L63" s="5" t="str">
        <f t="shared" si="24"/>
        <v/>
      </c>
      <c r="M63" s="5" t="str">
        <f t="shared" si="24"/>
        <v/>
      </c>
      <c r="N63" s="5" t="str">
        <f t="shared" si="24"/>
        <v/>
      </c>
      <c r="O63" s="5" t="str">
        <f t="shared" si="24"/>
        <v/>
      </c>
      <c r="P63" s="5" t="str">
        <f t="shared" si="24"/>
        <v/>
      </c>
      <c r="Q63" s="5" t="str">
        <f t="shared" si="24"/>
        <v/>
      </c>
      <c r="S63" s="21" t="s">
        <v>93</v>
      </c>
      <c r="T63">
        <f>COUNTIFS($E$6:$E$17,$S$63,$C$6:$C$17,"Summer")</f>
        <v>0</v>
      </c>
      <c r="U63">
        <f>COUNTIFS($E$18:$E$29,$S$63,$C$18:$C$29,"Summer")</f>
        <v>0</v>
      </c>
      <c r="V63">
        <f>COUNTIFS($E$30:$E$41,$S63,$C$30:$C$41,"Summer")</f>
        <v>0</v>
      </c>
      <c r="W63">
        <f>COUNTIFS($E$42:$E$53,$S63,$C$42:$C$53,"Summer")</f>
        <v>0</v>
      </c>
      <c r="X63">
        <f>COUNTIFS($E$54:$E$65,$S63,$C$54:$C$65,"Summer")</f>
        <v>0</v>
      </c>
    </row>
    <row r="64" spans="1:26" x14ac:dyDescent="0.25">
      <c r="A64" s="22">
        <v>59</v>
      </c>
      <c r="B64" s="4">
        <f t="shared" si="3"/>
        <v>1768</v>
      </c>
      <c r="C64" s="4" t="str">
        <f t="shared" si="0"/>
        <v>Academic</v>
      </c>
      <c r="D64" t="str">
        <f t="shared" si="4"/>
        <v>FY 1905</v>
      </c>
      <c r="E64" t="e">
        <f>IF(OR(D64=#REF!,D64=$T$1,D64=$U$1),D64,IF(RIGHT(D64,4)&gt;RIGHT($U$1,4),$U$1,IF(D64="","",#REF!)))</f>
        <v>#REF!</v>
      </c>
      <c r="F64" t="str">
        <f t="shared" si="7"/>
        <v>AY 1904-1905</v>
      </c>
      <c r="G64" s="2" t="str">
        <f t="shared" si="22"/>
        <v/>
      </c>
      <c r="H64" s="2" t="str">
        <f t="shared" si="22"/>
        <v/>
      </c>
      <c r="I64" s="2" t="str">
        <f t="shared" si="22"/>
        <v/>
      </c>
      <c r="J64" s="2" t="str">
        <f t="shared" si="5"/>
        <v>Year 5</v>
      </c>
      <c r="K64" s="5" t="str">
        <f t="shared" si="24"/>
        <v/>
      </c>
      <c r="L64" s="5" t="str">
        <f t="shared" si="24"/>
        <v/>
      </c>
      <c r="M64" s="5" t="str">
        <f t="shared" si="24"/>
        <v/>
      </c>
      <c r="N64" s="5" t="str">
        <f t="shared" si="24"/>
        <v/>
      </c>
      <c r="O64" s="5" t="str">
        <f t="shared" si="24"/>
        <v/>
      </c>
      <c r="P64" s="5" t="str">
        <f t="shared" si="24"/>
        <v/>
      </c>
      <c r="Q64" s="5" t="str">
        <f t="shared" si="24"/>
        <v/>
      </c>
      <c r="S64" s="21" t="s">
        <v>94</v>
      </c>
      <c r="T64">
        <f>COUNTIFS($E$6:$E$17,$S$64,$C$6:$C$17,"Summer")</f>
        <v>0</v>
      </c>
      <c r="U64">
        <f>COUNTIFS($E$18:$E$29,$S$64,$C$18:$C$29,"Summer")</f>
        <v>0</v>
      </c>
      <c r="V64">
        <f>COUNTIFS($E$30:$E$41,$S64,$C$30:$C$41,"Summer")</f>
        <v>0</v>
      </c>
      <c r="W64">
        <f>COUNTIFS($E$42:$E$53,$S64,$C$42:$C$53,"Summer")</f>
        <v>0</v>
      </c>
      <c r="X64">
        <f>COUNTIFS($E$54:$E$65,$S64,$C$54:$C$65,"Summer")</f>
        <v>0</v>
      </c>
    </row>
    <row r="65" spans="1:24" x14ac:dyDescent="0.25">
      <c r="A65" s="22">
        <v>60</v>
      </c>
      <c r="B65" s="4">
        <f t="shared" si="3"/>
        <v>1798</v>
      </c>
      <c r="C65" s="4" t="str">
        <f t="shared" si="0"/>
        <v>Academic</v>
      </c>
      <c r="D65" t="str">
        <f t="shared" si="4"/>
        <v>FY 1905</v>
      </c>
      <c r="E65" t="e">
        <f>IF(OR(D65=#REF!,D65=$T$1,D65=$U$1),D65,IF(RIGHT(D65,4)&gt;RIGHT($U$1,4),$U$1,IF(D65="","",#REF!)))</f>
        <v>#REF!</v>
      </c>
      <c r="F65" t="str">
        <f t="shared" si="7"/>
        <v>AY 1904-1905</v>
      </c>
      <c r="G65" s="2" t="str">
        <f t="shared" si="22"/>
        <v/>
      </c>
      <c r="H65" s="2" t="str">
        <f t="shared" si="22"/>
        <v/>
      </c>
      <c r="I65" s="2" t="str">
        <f t="shared" si="22"/>
        <v/>
      </c>
      <c r="J65" s="2" t="str">
        <f t="shared" si="5"/>
        <v>Year 5</v>
      </c>
      <c r="K65" s="5" t="str">
        <f t="shared" si="24"/>
        <v/>
      </c>
      <c r="L65" s="5" t="str">
        <f t="shared" si="24"/>
        <v/>
      </c>
      <c r="M65" s="5" t="str">
        <f t="shared" si="24"/>
        <v/>
      </c>
      <c r="N65" s="5" t="str">
        <f t="shared" si="24"/>
        <v/>
      </c>
      <c r="O65" s="5" t="str">
        <f t="shared" si="24"/>
        <v/>
      </c>
      <c r="P65" s="5" t="str">
        <f t="shared" si="24"/>
        <v/>
      </c>
      <c r="Q65" s="5" t="str">
        <f t="shared" si="24"/>
        <v/>
      </c>
      <c r="S65" s="21" t="s">
        <v>112</v>
      </c>
      <c r="T65" t="b">
        <f>IF(COUNTIF(T60:T64,"&gt;0")&gt;1,TRUE,FALSE)</f>
        <v>0</v>
      </c>
      <c r="U65" t="b">
        <f>IF(COUNTIF(U60:U64,"&gt;0")&gt;1,TRUE,FALSE)</f>
        <v>0</v>
      </c>
      <c r="V65" t="b">
        <f>IF(COUNTIF(V60:V64,"&gt;0")&gt;1,TRUE,FALSE)</f>
        <v>0</v>
      </c>
      <c r="W65" t="b">
        <f>IF(COUNTIF(W60:W64,"&gt;0")&gt;1,TRUE,FALSE)</f>
        <v>0</v>
      </c>
      <c r="X65" t="b">
        <f>IF(COUNTIF(X60:X64,"&gt;0")&gt;1,TRUE,FALSE)</f>
        <v>0</v>
      </c>
    </row>
    <row r="66" spans="1:24" x14ac:dyDescent="0.25">
      <c r="A66" s="22">
        <v>61</v>
      </c>
      <c r="B66" s="4" t="str">
        <f t="shared" si="3"/>
        <v/>
      </c>
      <c r="C66" s="4" t="str">
        <f t="shared" si="0"/>
        <v/>
      </c>
      <c r="D66" t="str">
        <f t="shared" si="4"/>
        <v/>
      </c>
      <c r="E66" t="e">
        <f>IF(OR(D66=#REF!,D66=$T$1,D66=$U$1),D66,IF(RIGHT(D66,4)&gt;RIGHT($U$1,4),$U$1,IF(D66="","",#REF!)))</f>
        <v>#REF!</v>
      </c>
      <c r="F66" t="str">
        <f t="shared" si="7"/>
        <v/>
      </c>
      <c r="G66" s="2" t="str">
        <f t="shared" ref="G66:I80" si="25">IF(ISERROR(INDEX($AB$17:$AD$34, MATCH($F66,$AA$17:$AA$34,0), MATCH(G$5,$AB$16:$AD$16,0))),"",INDEX($AB$17:$AD$34, MATCH($F66,$AA$17:$AA$34,0), MATCH(G$5,$AB$16:$AD$16,0)))</f>
        <v/>
      </c>
      <c r="H66" s="2" t="str">
        <f t="shared" si="25"/>
        <v/>
      </c>
      <c r="I66" s="2" t="str">
        <f t="shared" si="25"/>
        <v/>
      </c>
      <c r="J66" s="2" t="str">
        <f t="shared" si="5"/>
        <v/>
      </c>
      <c r="K66" s="5" t="str">
        <f t="shared" ref="K66:Q75" si="26">IF(ISERROR(IF(RIGHT($E66,4)&gt;RIGHT($U$1,4),INDEX($V$43:$X$55,MATCH(K$5,$T$43:$T$55,0),MATCH($U$1,$V$42:$X$42,0)),INDEX($V$43:$X$55,MATCH(K$5,$T$43:$T$55,0),MATCH($E66,$V$42:$X$42,0)))),"",
IF(OR(K$5="FTS",K$5="PTU",K$5="PTS",K$5="PTG"),
IF($C66="Summer",
IF(RIGHT($E66,4)&gt;RIGHT($U$1,4),INDEX($V$43:$X$55,MATCH(K$5,$T$43:$T$55,0),MATCH($U$1,$V$42:$X$42,0)),INDEX($V$43:$X$55,MATCH(K$5,$T$43:$T$55,0),MATCH($E66,$V$42:$X$42,0))),0),IF(RIGHT($E66,4)&gt;RIGHT($U$1,4),INDEX($V$43:$X$55,MATCH(K$5,$T$43:$T$55,0),MATCH($U$1,$V$42:$X$42,0)),INDEX($V$43:$X$55,MATCH(K$5,$T$43:$T$55,0),MATCH($E66,$V$42:$X$42,0)))))</f>
        <v/>
      </c>
      <c r="L66" s="5" t="str">
        <f t="shared" si="26"/>
        <v/>
      </c>
      <c r="M66" s="5" t="str">
        <f t="shared" si="26"/>
        <v/>
      </c>
      <c r="N66" s="5" t="str">
        <f t="shared" si="26"/>
        <v/>
      </c>
      <c r="O66" s="5" t="str">
        <f t="shared" si="26"/>
        <v/>
      </c>
      <c r="P66" s="5" t="str">
        <f t="shared" si="26"/>
        <v/>
      </c>
      <c r="Q66" s="5" t="str">
        <f t="shared" si="26"/>
        <v/>
      </c>
      <c r="W66" s="1"/>
      <c r="X66" s="6"/>
    </row>
    <row r="67" spans="1:24" x14ac:dyDescent="0.25">
      <c r="A67" s="22">
        <v>62</v>
      </c>
      <c r="B67" s="4" t="str">
        <f t="shared" si="3"/>
        <v/>
      </c>
      <c r="C67" s="4" t="str">
        <f t="shared" si="0"/>
        <v/>
      </c>
      <c r="D67" t="str">
        <f t="shared" si="4"/>
        <v/>
      </c>
      <c r="E67" t="e">
        <f>IF(OR(D67=#REF!,D67=$T$1,D67=$U$1),D67,IF(RIGHT(D67,4)&gt;RIGHT($U$1,4),$U$1,IF(D67="","",#REF!)))</f>
        <v>#REF!</v>
      </c>
      <c r="F67" t="str">
        <f t="shared" si="7"/>
        <v/>
      </c>
      <c r="G67" s="2" t="str">
        <f t="shared" si="25"/>
        <v/>
      </c>
      <c r="H67" s="2" t="str">
        <f t="shared" si="25"/>
        <v/>
      </c>
      <c r="I67" s="2" t="str">
        <f t="shared" si="25"/>
        <v/>
      </c>
      <c r="J67" s="2" t="str">
        <f t="shared" si="5"/>
        <v/>
      </c>
      <c r="K67" s="5" t="str">
        <f t="shared" si="26"/>
        <v/>
      </c>
      <c r="L67" s="5" t="str">
        <f t="shared" si="26"/>
        <v/>
      </c>
      <c r="M67" s="5" t="str">
        <f t="shared" si="26"/>
        <v/>
      </c>
      <c r="N67" s="5" t="str">
        <f t="shared" si="26"/>
        <v/>
      </c>
      <c r="O67" s="5" t="str">
        <f t="shared" si="26"/>
        <v/>
      </c>
      <c r="P67" s="5" t="str">
        <f t="shared" si="26"/>
        <v/>
      </c>
      <c r="Q67" s="5" t="str">
        <f t="shared" si="26"/>
        <v/>
      </c>
      <c r="W67" s="1"/>
      <c r="X67" s="6"/>
    </row>
    <row r="68" spans="1:24" x14ac:dyDescent="0.25">
      <c r="A68" s="22">
        <v>63</v>
      </c>
      <c r="B68" s="4" t="str">
        <f t="shared" si="3"/>
        <v/>
      </c>
      <c r="C68" s="4" t="str">
        <f t="shared" si="0"/>
        <v/>
      </c>
      <c r="D68" t="str">
        <f t="shared" si="4"/>
        <v/>
      </c>
      <c r="E68" t="e">
        <f>IF(OR(D68=#REF!,D68=$T$1,D68=$U$1),D68,IF(RIGHT(D68,4)&gt;RIGHT($U$1,4),$U$1,IF(D68="","",#REF!)))</f>
        <v>#REF!</v>
      </c>
      <c r="F68" t="str">
        <f t="shared" si="7"/>
        <v/>
      </c>
      <c r="G68" s="2" t="str">
        <f t="shared" si="25"/>
        <v/>
      </c>
      <c r="H68" s="2" t="str">
        <f t="shared" si="25"/>
        <v/>
      </c>
      <c r="I68" s="2" t="str">
        <f t="shared" si="25"/>
        <v/>
      </c>
      <c r="J68" s="2" t="str">
        <f t="shared" si="5"/>
        <v/>
      </c>
      <c r="K68" s="5" t="str">
        <f t="shared" si="26"/>
        <v/>
      </c>
      <c r="L68" s="5" t="str">
        <f t="shared" si="26"/>
        <v/>
      </c>
      <c r="M68" s="5" t="str">
        <f t="shared" si="26"/>
        <v/>
      </c>
      <c r="N68" s="5" t="str">
        <f t="shared" si="26"/>
        <v/>
      </c>
      <c r="O68" s="5" t="str">
        <f t="shared" si="26"/>
        <v/>
      </c>
      <c r="P68" s="5" t="str">
        <f t="shared" si="26"/>
        <v/>
      </c>
      <c r="Q68" s="5" t="str">
        <f t="shared" si="26"/>
        <v/>
      </c>
    </row>
    <row r="69" spans="1:24" x14ac:dyDescent="0.25">
      <c r="A69" s="22">
        <v>64</v>
      </c>
      <c r="B69" s="4" t="str">
        <f t="shared" si="3"/>
        <v/>
      </c>
      <c r="C69" s="4" t="str">
        <f t="shared" si="0"/>
        <v/>
      </c>
      <c r="D69" t="str">
        <f t="shared" si="4"/>
        <v/>
      </c>
      <c r="E69" t="e">
        <f>IF(OR(D69=#REF!,D69=$T$1,D69=$U$1),D69,IF(RIGHT(D69,4)&gt;RIGHT($U$1,4),$U$1,IF(D69="","",#REF!)))</f>
        <v>#REF!</v>
      </c>
      <c r="F69" t="str">
        <f t="shared" si="7"/>
        <v/>
      </c>
      <c r="G69" s="2" t="str">
        <f t="shared" si="25"/>
        <v/>
      </c>
      <c r="H69" s="2" t="str">
        <f t="shared" si="25"/>
        <v/>
      </c>
      <c r="I69" s="2" t="str">
        <f t="shared" si="25"/>
        <v/>
      </c>
      <c r="J69" s="2" t="str">
        <f t="shared" si="5"/>
        <v/>
      </c>
      <c r="K69" s="5" t="str">
        <f t="shared" si="26"/>
        <v/>
      </c>
      <c r="L69" s="5" t="str">
        <f t="shared" si="26"/>
        <v/>
      </c>
      <c r="M69" s="5" t="str">
        <f t="shared" si="26"/>
        <v/>
      </c>
      <c r="N69" s="5" t="str">
        <f t="shared" si="26"/>
        <v/>
      </c>
      <c r="O69" s="5" t="str">
        <f t="shared" si="26"/>
        <v/>
      </c>
      <c r="P69" s="5" t="str">
        <f t="shared" si="26"/>
        <v/>
      </c>
      <c r="Q69" s="5" t="str">
        <f t="shared" si="26"/>
        <v/>
      </c>
    </row>
    <row r="70" spans="1:24" x14ac:dyDescent="0.25">
      <c r="A70" s="22">
        <v>65</v>
      </c>
      <c r="B70" s="4" t="str">
        <f t="shared" si="3"/>
        <v/>
      </c>
      <c r="C70" s="4" t="str">
        <f t="shared" si="0"/>
        <v/>
      </c>
      <c r="D70" t="str">
        <f t="shared" si="4"/>
        <v/>
      </c>
      <c r="E70" t="e">
        <f>IF(OR(D70=#REF!,D70=$T$1,D70=$U$1),D70,IF(RIGHT(D70,4)&gt;RIGHT($U$1,4),$U$1,IF(D70="","",#REF!)))</f>
        <v>#REF!</v>
      </c>
      <c r="F70" t="str">
        <f t="shared" si="7"/>
        <v/>
      </c>
      <c r="G70" s="2" t="str">
        <f t="shared" si="25"/>
        <v/>
      </c>
      <c r="H70" s="2" t="str">
        <f t="shared" si="25"/>
        <v/>
      </c>
      <c r="I70" s="2" t="str">
        <f t="shared" si="25"/>
        <v/>
      </c>
      <c r="J70" s="2" t="str">
        <f t="shared" si="5"/>
        <v/>
      </c>
      <c r="K70" s="5" t="str">
        <f t="shared" si="26"/>
        <v/>
      </c>
      <c r="L70" s="5" t="str">
        <f t="shared" si="26"/>
        <v/>
      </c>
      <c r="M70" s="5" t="str">
        <f t="shared" si="26"/>
        <v/>
      </c>
      <c r="N70" s="5" t="str">
        <f t="shared" si="26"/>
        <v/>
      </c>
      <c r="O70" s="5" t="str">
        <f t="shared" si="26"/>
        <v/>
      </c>
      <c r="P70" s="5" t="str">
        <f t="shared" si="26"/>
        <v/>
      </c>
      <c r="Q70" s="5" t="str">
        <f t="shared" si="26"/>
        <v/>
      </c>
    </row>
    <row r="71" spans="1:24" x14ac:dyDescent="0.25">
      <c r="A71" s="22">
        <v>66</v>
      </c>
      <c r="B71" s="4" t="str">
        <f t="shared" ref="B71:B125" si="27">IF($H$2&gt;=A71,DATE(YEAR(B70),MONTH(B70)+1,DAY(B70)),"")</f>
        <v/>
      </c>
      <c r="C71" s="4" t="str">
        <f t="shared" ref="C71:C125" si="28">IF(ISERROR(AND(MONTH(B71)&gt;5,MONTH(B71)&lt;9)),"",IF(AND(MONTH(B71)&gt;5,MONTH(B71)&lt;9),"Summer","Academic"))</f>
        <v/>
      </c>
      <c r="D71" t="str">
        <f t="shared" ref="D71:D125" si="29">IF(ISERROR(IF(MONTH(B71)&lt;7,"FY "&amp;YEAR(B71),IF(MONTH(B71)&gt;=7,"FY "&amp;YEAR(B71)+1,""))),"",IF(MONTH(B71)&lt;7,"FY "&amp;YEAR(B71),IF(MONTH(B71)&gt;=7,"FY "&amp;YEAR(B71)+1,"")))</f>
        <v/>
      </c>
      <c r="E71" t="e">
        <f>IF(OR(D71=#REF!,D71=$T$1,D71=$U$1),D71,IF(RIGHT(D71,4)&gt;RIGHT($U$1,4),$U$1,IF(D71="","",#REF!)))</f>
        <v>#REF!</v>
      </c>
      <c r="F71" t="str">
        <f t="shared" si="7"/>
        <v/>
      </c>
      <c r="G71" s="2" t="str">
        <f t="shared" si="25"/>
        <v/>
      </c>
      <c r="H71" s="2" t="str">
        <f t="shared" si="25"/>
        <v/>
      </c>
      <c r="I71" s="2" t="str">
        <f t="shared" si="25"/>
        <v/>
      </c>
      <c r="J71" s="2" t="str">
        <f t="shared" ref="J71:J125" si="30">IF(AND(A71&lt;=12,NOT(B71="")),"Year 1",IF(AND(A71&lt;=24,A71&gt;12,NOT(B71="")),"Year 2",IF(AND(A71&lt;=36,A71&gt;24,NOT(B71="")),"Year 3",IF(AND(A71&lt;=48,A71&gt;36,NOT(B71="")),"Year 4",IF(AND(A71&lt;=60,A71&gt;48,NOT(B71="")),"Year 5",IF(AND(A71&lt;=72,A71&gt;60,NOT(B71="")),"Year 6",IF(AND(A71&lt;=84,A71&gt;72,NOT(B71="")),"Year 7",IF(AND(A71&lt;=96,A71&gt;84,NOT(B71="")),"Year 8",IF(AND(A71&lt;=108,A71&gt;96,NOT(B71="")),"Year 9",IF(AND(A71&lt;=120,A71&gt;108,NOT(B71="")),"Year 10",""))))))))))</f>
        <v/>
      </c>
      <c r="K71" s="5" t="str">
        <f t="shared" si="26"/>
        <v/>
      </c>
      <c r="L71" s="5" t="str">
        <f t="shared" si="26"/>
        <v/>
      </c>
      <c r="M71" s="5" t="str">
        <f t="shared" si="26"/>
        <v/>
      </c>
      <c r="N71" s="5" t="str">
        <f t="shared" si="26"/>
        <v/>
      </c>
      <c r="O71" s="5" t="str">
        <f t="shared" si="26"/>
        <v/>
      </c>
      <c r="P71" s="5" t="str">
        <f t="shared" si="26"/>
        <v/>
      </c>
      <c r="Q71" s="5" t="str">
        <f t="shared" si="26"/>
        <v/>
      </c>
    </row>
    <row r="72" spans="1:24" x14ac:dyDescent="0.25">
      <c r="A72" s="22">
        <v>67</v>
      </c>
      <c r="B72" s="4" t="str">
        <f t="shared" si="27"/>
        <v/>
      </c>
      <c r="C72" s="4" t="str">
        <f t="shared" si="28"/>
        <v/>
      </c>
      <c r="D72" t="str">
        <f t="shared" si="29"/>
        <v/>
      </c>
      <c r="E72" t="e">
        <f>IF(OR(D72=#REF!,D72=$T$1,D72=$U$1),D72,IF(RIGHT(D72,4)&gt;RIGHT($U$1,4),$U$1,IF(D72="","",#REF!)))</f>
        <v>#REF!</v>
      </c>
      <c r="F72" t="str">
        <f t="shared" si="7"/>
        <v/>
      </c>
      <c r="G72" s="2" t="str">
        <f t="shared" si="25"/>
        <v/>
      </c>
      <c r="H72" s="2" t="str">
        <f t="shared" si="25"/>
        <v/>
      </c>
      <c r="I72" s="2" t="str">
        <f t="shared" si="25"/>
        <v/>
      </c>
      <c r="J72" s="2" t="str">
        <f t="shared" si="30"/>
        <v/>
      </c>
      <c r="K72" s="5" t="str">
        <f t="shared" si="26"/>
        <v/>
      </c>
      <c r="L72" s="5" t="str">
        <f t="shared" si="26"/>
        <v/>
      </c>
      <c r="M72" s="5" t="str">
        <f t="shared" si="26"/>
        <v/>
      </c>
      <c r="N72" s="5" t="str">
        <f t="shared" si="26"/>
        <v/>
      </c>
      <c r="O72" s="5" t="str">
        <f t="shared" si="26"/>
        <v/>
      </c>
      <c r="P72" s="5" t="str">
        <f t="shared" si="26"/>
        <v/>
      </c>
      <c r="Q72" s="5" t="str">
        <f t="shared" si="26"/>
        <v/>
      </c>
    </row>
    <row r="73" spans="1:24" x14ac:dyDescent="0.25">
      <c r="A73" s="22">
        <v>68</v>
      </c>
      <c r="B73" s="4" t="str">
        <f t="shared" si="27"/>
        <v/>
      </c>
      <c r="C73" s="4" t="str">
        <f t="shared" si="28"/>
        <v/>
      </c>
      <c r="D73" t="str">
        <f t="shared" si="29"/>
        <v/>
      </c>
      <c r="E73" t="e">
        <f>IF(OR(D73=#REF!,D73=$T$1,D73=$U$1),D73,IF(RIGHT(D73,4)&gt;RIGHT($U$1,4),$U$1,IF(D73="","",#REF!)))</f>
        <v>#REF!</v>
      </c>
      <c r="F73" t="str">
        <f t="shared" ref="F73:F125" si="31">IF(ISERROR(IF(OR(MONTH(B73)&lt;6,MONTH(B73)&gt;8),IF(MONTH(B73)&lt;6,"AY "&amp;YEAR(B73)-1&amp;"-"&amp;YEAR(B73),"AY "&amp;YEAR(B73)&amp;"-"&amp;YEAR(B73)+1),"SU "&amp;YEAR(B73)-1&amp;"-"&amp;YEAR(B73))),"",IF(OR(MONTH(B73)&lt;6,MONTH(B73)&gt;8),IF(MONTH(B73)&lt;6,"AY "&amp;YEAR(B73)-1&amp;"-"&amp;YEAR(B73),"AY "&amp;YEAR(B73)&amp;"-"&amp;YEAR(B73)+1),"SU "&amp;YEAR(B73)-1&amp;"-"&amp;YEAR(B73)))</f>
        <v/>
      </c>
      <c r="G73" s="2" t="str">
        <f t="shared" si="25"/>
        <v/>
      </c>
      <c r="H73" s="2" t="str">
        <f t="shared" si="25"/>
        <v/>
      </c>
      <c r="I73" s="2" t="str">
        <f t="shared" si="25"/>
        <v/>
      </c>
      <c r="J73" s="2" t="str">
        <f t="shared" si="30"/>
        <v/>
      </c>
      <c r="K73" s="5" t="str">
        <f t="shared" si="26"/>
        <v/>
      </c>
      <c r="L73" s="5" t="str">
        <f t="shared" si="26"/>
        <v/>
      </c>
      <c r="M73" s="5" t="str">
        <f t="shared" si="26"/>
        <v/>
      </c>
      <c r="N73" s="5" t="str">
        <f t="shared" si="26"/>
        <v/>
      </c>
      <c r="O73" s="5" t="str">
        <f t="shared" si="26"/>
        <v/>
      </c>
      <c r="P73" s="5" t="str">
        <f t="shared" si="26"/>
        <v/>
      </c>
      <c r="Q73" s="5" t="str">
        <f t="shared" si="26"/>
        <v/>
      </c>
    </row>
    <row r="74" spans="1:24" x14ac:dyDescent="0.25">
      <c r="A74" s="22">
        <v>69</v>
      </c>
      <c r="B74" s="4" t="str">
        <f t="shared" si="27"/>
        <v/>
      </c>
      <c r="C74" s="4" t="str">
        <f t="shared" si="28"/>
        <v/>
      </c>
      <c r="D74" t="str">
        <f t="shared" si="29"/>
        <v/>
      </c>
      <c r="E74" t="e">
        <f>IF(OR(D74=#REF!,D74=$T$1,D74=$U$1),D74,IF(RIGHT(D74,4)&gt;RIGHT($U$1,4),$U$1,IF(D74="","",#REF!)))</f>
        <v>#REF!</v>
      </c>
      <c r="F74" t="str">
        <f t="shared" si="31"/>
        <v/>
      </c>
      <c r="G74" s="2" t="str">
        <f t="shared" si="25"/>
        <v/>
      </c>
      <c r="H74" s="2" t="str">
        <f t="shared" si="25"/>
        <v/>
      </c>
      <c r="I74" s="2" t="str">
        <f t="shared" si="25"/>
        <v/>
      </c>
      <c r="J74" s="2" t="str">
        <f t="shared" si="30"/>
        <v/>
      </c>
      <c r="K74" s="5" t="str">
        <f t="shared" si="26"/>
        <v/>
      </c>
      <c r="L74" s="5" t="str">
        <f t="shared" si="26"/>
        <v/>
      </c>
      <c r="M74" s="5" t="str">
        <f t="shared" si="26"/>
        <v/>
      </c>
      <c r="N74" s="5" t="str">
        <f t="shared" si="26"/>
        <v/>
      </c>
      <c r="O74" s="5" t="str">
        <f t="shared" si="26"/>
        <v/>
      </c>
      <c r="P74" s="5" t="str">
        <f t="shared" si="26"/>
        <v/>
      </c>
      <c r="Q74" s="5" t="str">
        <f t="shared" si="26"/>
        <v/>
      </c>
    </row>
    <row r="75" spans="1:24" x14ac:dyDescent="0.25">
      <c r="A75" s="22">
        <v>70</v>
      </c>
      <c r="B75" s="4" t="str">
        <f t="shared" si="27"/>
        <v/>
      </c>
      <c r="C75" s="4" t="str">
        <f t="shared" si="28"/>
        <v/>
      </c>
      <c r="D75" t="str">
        <f t="shared" si="29"/>
        <v/>
      </c>
      <c r="E75" t="e">
        <f>IF(OR(D75=#REF!,D75=$T$1,D75=$U$1),D75,IF(RIGHT(D75,4)&gt;RIGHT($U$1,4),$U$1,IF(D75="","",#REF!)))</f>
        <v>#REF!</v>
      </c>
      <c r="F75" t="str">
        <f t="shared" si="31"/>
        <v/>
      </c>
      <c r="G75" s="2" t="str">
        <f t="shared" si="25"/>
        <v/>
      </c>
      <c r="H75" s="2" t="str">
        <f t="shared" si="25"/>
        <v/>
      </c>
      <c r="I75" s="2" t="str">
        <f t="shared" si="25"/>
        <v/>
      </c>
      <c r="J75" s="2" t="str">
        <f t="shared" si="30"/>
        <v/>
      </c>
      <c r="K75" s="5" t="str">
        <f t="shared" si="26"/>
        <v/>
      </c>
      <c r="L75" s="5" t="str">
        <f t="shared" si="26"/>
        <v/>
      </c>
      <c r="M75" s="5" t="str">
        <f t="shared" si="26"/>
        <v/>
      </c>
      <c r="N75" s="5" t="str">
        <f t="shared" si="26"/>
        <v/>
      </c>
      <c r="O75" s="5" t="str">
        <f t="shared" si="26"/>
        <v/>
      </c>
      <c r="P75" s="5" t="str">
        <f t="shared" si="26"/>
        <v/>
      </c>
      <c r="Q75" s="5" t="str">
        <f t="shared" si="26"/>
        <v/>
      </c>
    </row>
    <row r="76" spans="1:24" x14ac:dyDescent="0.25">
      <c r="A76" s="22">
        <v>71</v>
      </c>
      <c r="B76" s="4" t="str">
        <f t="shared" si="27"/>
        <v/>
      </c>
      <c r="C76" s="4" t="str">
        <f t="shared" si="28"/>
        <v/>
      </c>
      <c r="D76" t="str">
        <f t="shared" si="29"/>
        <v/>
      </c>
      <c r="E76" t="e">
        <f>IF(OR(D76=#REF!,D76=$T$1,D76=$U$1),D76,IF(RIGHT(D76,4)&gt;RIGHT($U$1,4),$U$1,IF(D76="","",#REF!)))</f>
        <v>#REF!</v>
      </c>
      <c r="F76" t="str">
        <f t="shared" si="31"/>
        <v/>
      </c>
      <c r="G76" s="2" t="str">
        <f t="shared" si="25"/>
        <v/>
      </c>
      <c r="H76" s="2" t="str">
        <f t="shared" si="25"/>
        <v/>
      </c>
      <c r="I76" s="2" t="str">
        <f t="shared" si="25"/>
        <v/>
      </c>
      <c r="J76" s="2" t="str">
        <f t="shared" si="30"/>
        <v/>
      </c>
      <c r="K76" s="5" t="str">
        <f t="shared" ref="K76:Q85" si="32">IF(ISERROR(IF(RIGHT($E76,4)&gt;RIGHT($U$1,4),INDEX($V$43:$X$55,MATCH(K$5,$T$43:$T$55,0),MATCH($U$1,$V$42:$X$42,0)),INDEX($V$43:$X$55,MATCH(K$5,$T$43:$T$55,0),MATCH($E76,$V$42:$X$42,0)))),"",
IF(OR(K$5="FTS",K$5="PTU",K$5="PTS",K$5="PTG"),
IF($C76="Summer",
IF(RIGHT($E76,4)&gt;RIGHT($U$1,4),INDEX($V$43:$X$55,MATCH(K$5,$T$43:$T$55,0),MATCH($U$1,$V$42:$X$42,0)),INDEX($V$43:$X$55,MATCH(K$5,$T$43:$T$55,0),MATCH($E76,$V$42:$X$42,0))),0),IF(RIGHT($E76,4)&gt;RIGHT($U$1,4),INDEX($V$43:$X$55,MATCH(K$5,$T$43:$T$55,0),MATCH($U$1,$V$42:$X$42,0)),INDEX($V$43:$X$55,MATCH(K$5,$T$43:$T$55,0),MATCH($E76,$V$42:$X$42,0)))))</f>
        <v/>
      </c>
      <c r="L76" s="5" t="str">
        <f t="shared" si="32"/>
        <v/>
      </c>
      <c r="M76" s="5" t="str">
        <f t="shared" si="32"/>
        <v/>
      </c>
      <c r="N76" s="5" t="str">
        <f t="shared" si="32"/>
        <v/>
      </c>
      <c r="O76" s="5" t="str">
        <f t="shared" si="32"/>
        <v/>
      </c>
      <c r="P76" s="5" t="str">
        <f t="shared" si="32"/>
        <v/>
      </c>
      <c r="Q76" s="5" t="str">
        <f t="shared" si="32"/>
        <v/>
      </c>
    </row>
    <row r="77" spans="1:24" x14ac:dyDescent="0.25">
      <c r="A77" s="22">
        <v>72</v>
      </c>
      <c r="B77" s="4" t="str">
        <f t="shared" si="27"/>
        <v/>
      </c>
      <c r="C77" s="4" t="str">
        <f t="shared" si="28"/>
        <v/>
      </c>
      <c r="D77" t="str">
        <f t="shared" si="29"/>
        <v/>
      </c>
      <c r="E77" t="e">
        <f>IF(OR(D77=#REF!,D77=$T$1,D77=$U$1),D77,IF(RIGHT(D77,4)&gt;RIGHT($U$1,4),$U$1,IF(D77="","",#REF!)))</f>
        <v>#REF!</v>
      </c>
      <c r="F77" t="str">
        <f t="shared" si="31"/>
        <v/>
      </c>
      <c r="G77" s="2" t="str">
        <f t="shared" si="25"/>
        <v/>
      </c>
      <c r="H77" s="2" t="str">
        <f t="shared" si="25"/>
        <v/>
      </c>
      <c r="I77" s="2" t="str">
        <f t="shared" si="25"/>
        <v/>
      </c>
      <c r="J77" s="2" t="str">
        <f t="shared" si="30"/>
        <v/>
      </c>
      <c r="K77" s="5" t="str">
        <f t="shared" si="32"/>
        <v/>
      </c>
      <c r="L77" s="5" t="str">
        <f t="shared" si="32"/>
        <v/>
      </c>
      <c r="M77" s="5" t="str">
        <f t="shared" si="32"/>
        <v/>
      </c>
      <c r="N77" s="5" t="str">
        <f t="shared" si="32"/>
        <v/>
      </c>
      <c r="O77" s="5" t="str">
        <f t="shared" si="32"/>
        <v/>
      </c>
      <c r="P77" s="5" t="str">
        <f t="shared" si="32"/>
        <v/>
      </c>
      <c r="Q77" s="5" t="str">
        <f t="shared" si="32"/>
        <v/>
      </c>
    </row>
    <row r="78" spans="1:24" x14ac:dyDescent="0.25">
      <c r="A78" s="22">
        <v>73</v>
      </c>
      <c r="B78" s="4" t="str">
        <f t="shared" si="27"/>
        <v/>
      </c>
      <c r="C78" s="4" t="str">
        <f t="shared" si="28"/>
        <v/>
      </c>
      <c r="D78" t="str">
        <f t="shared" si="29"/>
        <v/>
      </c>
      <c r="E78" t="e">
        <f>IF(OR(D78=#REF!,D78=$T$1,D78=$U$1),D78,IF(RIGHT(D78,4)&gt;RIGHT($U$1,4),$U$1,IF(D78="","",#REF!)))</f>
        <v>#REF!</v>
      </c>
      <c r="F78" t="str">
        <f t="shared" si="31"/>
        <v/>
      </c>
      <c r="G78" s="2" t="str">
        <f t="shared" si="25"/>
        <v/>
      </c>
      <c r="H78" s="2" t="str">
        <f t="shared" si="25"/>
        <v/>
      </c>
      <c r="I78" s="2" t="str">
        <f t="shared" si="25"/>
        <v/>
      </c>
      <c r="J78" s="2" t="str">
        <f t="shared" si="30"/>
        <v/>
      </c>
      <c r="K78" s="5" t="str">
        <f t="shared" si="32"/>
        <v/>
      </c>
      <c r="L78" s="5" t="str">
        <f t="shared" si="32"/>
        <v/>
      </c>
      <c r="M78" s="5" t="str">
        <f t="shared" si="32"/>
        <v/>
      </c>
      <c r="N78" s="5" t="str">
        <f t="shared" si="32"/>
        <v/>
      </c>
      <c r="O78" s="5" t="str">
        <f t="shared" si="32"/>
        <v/>
      </c>
      <c r="P78" s="5" t="str">
        <f t="shared" si="32"/>
        <v/>
      </c>
      <c r="Q78" s="5" t="str">
        <f t="shared" si="32"/>
        <v/>
      </c>
    </row>
    <row r="79" spans="1:24" x14ac:dyDescent="0.25">
      <c r="A79" s="22">
        <v>74</v>
      </c>
      <c r="B79" s="4" t="str">
        <f t="shared" si="27"/>
        <v/>
      </c>
      <c r="C79" s="4" t="str">
        <f t="shared" si="28"/>
        <v/>
      </c>
      <c r="D79" t="str">
        <f t="shared" si="29"/>
        <v/>
      </c>
      <c r="E79" t="e">
        <f>IF(OR(D79=#REF!,D79=$T$1,D79=$U$1),D79,IF(RIGHT(D79,4)&gt;RIGHT($U$1,4),$U$1,IF(D79="","",#REF!)))</f>
        <v>#REF!</v>
      </c>
      <c r="F79" t="str">
        <f t="shared" si="31"/>
        <v/>
      </c>
      <c r="G79" s="2" t="str">
        <f t="shared" si="25"/>
        <v/>
      </c>
      <c r="H79" s="2" t="str">
        <f t="shared" si="25"/>
        <v/>
      </c>
      <c r="I79" s="2" t="str">
        <f t="shared" si="25"/>
        <v/>
      </c>
      <c r="J79" s="2" t="str">
        <f t="shared" si="30"/>
        <v/>
      </c>
      <c r="K79" s="5" t="str">
        <f t="shared" si="32"/>
        <v/>
      </c>
      <c r="L79" s="5" t="str">
        <f t="shared" si="32"/>
        <v/>
      </c>
      <c r="M79" s="5" t="str">
        <f t="shared" si="32"/>
        <v/>
      </c>
      <c r="N79" s="5" t="str">
        <f t="shared" si="32"/>
        <v/>
      </c>
      <c r="O79" s="5" t="str">
        <f t="shared" si="32"/>
        <v/>
      </c>
      <c r="P79" s="5" t="str">
        <f t="shared" si="32"/>
        <v/>
      </c>
      <c r="Q79" s="5" t="str">
        <f t="shared" si="32"/>
        <v/>
      </c>
    </row>
    <row r="80" spans="1:24" x14ac:dyDescent="0.25">
      <c r="A80" s="22">
        <v>75</v>
      </c>
      <c r="B80" s="4" t="str">
        <f t="shared" si="27"/>
        <v/>
      </c>
      <c r="C80" s="4" t="str">
        <f t="shared" si="28"/>
        <v/>
      </c>
      <c r="D80" t="str">
        <f t="shared" si="29"/>
        <v/>
      </c>
      <c r="E80" t="e">
        <f>IF(OR(D80=#REF!,D80=$T$1,D80=$U$1),D80,IF(RIGHT(D80,4)&gt;RIGHT($U$1,4),$U$1,IF(D80="","",#REF!)))</f>
        <v>#REF!</v>
      </c>
      <c r="F80" t="str">
        <f t="shared" si="31"/>
        <v/>
      </c>
      <c r="G80" s="2" t="str">
        <f t="shared" si="25"/>
        <v/>
      </c>
      <c r="H80" s="2" t="str">
        <f t="shared" si="25"/>
        <v/>
      </c>
      <c r="I80" s="2" t="str">
        <f t="shared" si="25"/>
        <v/>
      </c>
      <c r="J80" s="2" t="str">
        <f t="shared" si="30"/>
        <v/>
      </c>
      <c r="K80" s="5" t="str">
        <f t="shared" si="32"/>
        <v/>
      </c>
      <c r="L80" s="5" t="str">
        <f t="shared" si="32"/>
        <v/>
      </c>
      <c r="M80" s="5" t="str">
        <f t="shared" si="32"/>
        <v/>
      </c>
      <c r="N80" s="5" t="str">
        <f t="shared" si="32"/>
        <v/>
      </c>
      <c r="O80" s="5" t="str">
        <f t="shared" si="32"/>
        <v/>
      </c>
      <c r="P80" s="5" t="str">
        <f t="shared" si="32"/>
        <v/>
      </c>
      <c r="Q80" s="5" t="str">
        <f t="shared" si="32"/>
        <v/>
      </c>
    </row>
    <row r="81" spans="1:17" x14ac:dyDescent="0.25">
      <c r="A81" s="22">
        <v>76</v>
      </c>
      <c r="B81" s="4" t="str">
        <f t="shared" si="27"/>
        <v/>
      </c>
      <c r="C81" s="4" t="str">
        <f t="shared" si="28"/>
        <v/>
      </c>
      <c r="D81" t="str">
        <f t="shared" si="29"/>
        <v/>
      </c>
      <c r="E81" t="e">
        <f>IF(OR(D81=#REF!,D81=$T$1,D81=$U$1),D81,IF(RIGHT(D81,4)&gt;RIGHT($U$1,4),$U$1,IF(D81="","",#REF!)))</f>
        <v>#REF!</v>
      </c>
      <c r="F81" t="str">
        <f t="shared" si="31"/>
        <v/>
      </c>
      <c r="G81" s="2" t="str">
        <f t="shared" ref="G81:I100" si="33">IF(ISERROR(INDEX($AB$17:$AD$34, MATCH($F81,$AA$17:$AA$34,0), MATCH(G$5,$AB$16:$AD$16,0))),"",INDEX($AB$17:$AD$34, MATCH($F81,$AA$17:$AA$34,0), MATCH(G$5,$AB$16:$AD$16,0)))</f>
        <v/>
      </c>
      <c r="H81" s="2" t="str">
        <f t="shared" si="33"/>
        <v/>
      </c>
      <c r="I81" s="2" t="str">
        <f t="shared" si="33"/>
        <v/>
      </c>
      <c r="J81" s="2" t="str">
        <f t="shared" si="30"/>
        <v/>
      </c>
      <c r="K81" s="5" t="str">
        <f t="shared" si="32"/>
        <v/>
      </c>
      <c r="L81" s="5" t="str">
        <f t="shared" si="32"/>
        <v/>
      </c>
      <c r="M81" s="5" t="str">
        <f t="shared" si="32"/>
        <v/>
      </c>
      <c r="N81" s="5" t="str">
        <f t="shared" si="32"/>
        <v/>
      </c>
      <c r="O81" s="5" t="str">
        <f t="shared" si="32"/>
        <v/>
      </c>
      <c r="P81" s="5" t="str">
        <f t="shared" si="32"/>
        <v/>
      </c>
      <c r="Q81" s="5" t="str">
        <f t="shared" si="32"/>
        <v/>
      </c>
    </row>
    <row r="82" spans="1:17" x14ac:dyDescent="0.25">
      <c r="A82" s="22">
        <v>77</v>
      </c>
      <c r="B82" s="4" t="str">
        <f t="shared" si="27"/>
        <v/>
      </c>
      <c r="C82" s="4" t="str">
        <f t="shared" si="28"/>
        <v/>
      </c>
      <c r="D82" t="str">
        <f t="shared" si="29"/>
        <v/>
      </c>
      <c r="E82" t="e">
        <f>IF(OR(D82=#REF!,D82=$T$1,D82=$U$1),D82,IF(RIGHT(D82,4)&gt;RIGHT($U$1,4),$U$1,IF(D82="","",#REF!)))</f>
        <v>#REF!</v>
      </c>
      <c r="F82" t="str">
        <f t="shared" si="31"/>
        <v/>
      </c>
      <c r="G82" s="2" t="str">
        <f t="shared" si="33"/>
        <v/>
      </c>
      <c r="H82" s="2" t="str">
        <f t="shared" si="33"/>
        <v/>
      </c>
      <c r="I82" s="2" t="str">
        <f t="shared" si="33"/>
        <v/>
      </c>
      <c r="J82" s="2" t="str">
        <f t="shared" si="30"/>
        <v/>
      </c>
      <c r="K82" s="5" t="str">
        <f t="shared" si="32"/>
        <v/>
      </c>
      <c r="L82" s="5" t="str">
        <f t="shared" si="32"/>
        <v/>
      </c>
      <c r="M82" s="5" t="str">
        <f t="shared" si="32"/>
        <v/>
      </c>
      <c r="N82" s="5" t="str">
        <f t="shared" si="32"/>
        <v/>
      </c>
      <c r="O82" s="5" t="str">
        <f t="shared" si="32"/>
        <v/>
      </c>
      <c r="P82" s="5" t="str">
        <f t="shared" si="32"/>
        <v/>
      </c>
      <c r="Q82" s="5" t="str">
        <f t="shared" si="32"/>
        <v/>
      </c>
    </row>
    <row r="83" spans="1:17" x14ac:dyDescent="0.25">
      <c r="A83" s="22">
        <v>78</v>
      </c>
      <c r="B83" s="4" t="str">
        <f t="shared" si="27"/>
        <v/>
      </c>
      <c r="C83" s="4" t="str">
        <f t="shared" si="28"/>
        <v/>
      </c>
      <c r="D83" t="str">
        <f t="shared" si="29"/>
        <v/>
      </c>
      <c r="E83" t="e">
        <f>IF(OR(D83=#REF!,D83=$T$1,D83=$U$1),D83,IF(RIGHT(D83,4)&gt;RIGHT($U$1,4),$U$1,IF(D83="","",#REF!)))</f>
        <v>#REF!</v>
      </c>
      <c r="F83" t="str">
        <f t="shared" si="31"/>
        <v/>
      </c>
      <c r="G83" s="2" t="str">
        <f t="shared" si="33"/>
        <v/>
      </c>
      <c r="H83" s="2" t="str">
        <f t="shared" si="33"/>
        <v/>
      </c>
      <c r="I83" s="2" t="str">
        <f t="shared" si="33"/>
        <v/>
      </c>
      <c r="J83" s="2" t="str">
        <f t="shared" si="30"/>
        <v/>
      </c>
      <c r="K83" s="5" t="str">
        <f t="shared" si="32"/>
        <v/>
      </c>
      <c r="L83" s="5" t="str">
        <f t="shared" si="32"/>
        <v/>
      </c>
      <c r="M83" s="5" t="str">
        <f t="shared" si="32"/>
        <v/>
      </c>
      <c r="N83" s="5" t="str">
        <f t="shared" si="32"/>
        <v/>
      </c>
      <c r="O83" s="5" t="str">
        <f t="shared" si="32"/>
        <v/>
      </c>
      <c r="P83" s="5" t="str">
        <f t="shared" si="32"/>
        <v/>
      </c>
      <c r="Q83" s="5" t="str">
        <f t="shared" si="32"/>
        <v/>
      </c>
    </row>
    <row r="84" spans="1:17" x14ac:dyDescent="0.25">
      <c r="A84" s="22">
        <v>79</v>
      </c>
      <c r="B84" s="4" t="str">
        <f t="shared" si="27"/>
        <v/>
      </c>
      <c r="C84" s="4" t="str">
        <f t="shared" si="28"/>
        <v/>
      </c>
      <c r="D84" t="str">
        <f t="shared" si="29"/>
        <v/>
      </c>
      <c r="E84" t="e">
        <f>IF(OR(D84=#REF!,D84=$T$1,D84=$U$1),D84,IF(RIGHT(D84,4)&gt;RIGHT($U$1,4),$U$1,IF(D84="","",#REF!)))</f>
        <v>#REF!</v>
      </c>
      <c r="F84" t="str">
        <f t="shared" si="31"/>
        <v/>
      </c>
      <c r="G84" s="2" t="str">
        <f t="shared" si="33"/>
        <v/>
      </c>
      <c r="H84" s="2" t="str">
        <f t="shared" si="33"/>
        <v/>
      </c>
      <c r="I84" s="2" t="str">
        <f t="shared" si="33"/>
        <v/>
      </c>
      <c r="J84" s="2" t="str">
        <f t="shared" si="30"/>
        <v/>
      </c>
      <c r="K84" s="5" t="str">
        <f t="shared" si="32"/>
        <v/>
      </c>
      <c r="L84" s="5" t="str">
        <f t="shared" si="32"/>
        <v/>
      </c>
      <c r="M84" s="5" t="str">
        <f t="shared" si="32"/>
        <v/>
      </c>
      <c r="N84" s="5" t="str">
        <f t="shared" si="32"/>
        <v/>
      </c>
      <c r="O84" s="5" t="str">
        <f t="shared" si="32"/>
        <v/>
      </c>
      <c r="P84" s="5" t="str">
        <f t="shared" si="32"/>
        <v/>
      </c>
      <c r="Q84" s="5" t="str">
        <f t="shared" si="32"/>
        <v/>
      </c>
    </row>
    <row r="85" spans="1:17" x14ac:dyDescent="0.25">
      <c r="A85" s="22">
        <v>80</v>
      </c>
      <c r="B85" s="4" t="str">
        <f t="shared" si="27"/>
        <v/>
      </c>
      <c r="C85" s="4" t="str">
        <f t="shared" si="28"/>
        <v/>
      </c>
      <c r="D85" t="str">
        <f t="shared" si="29"/>
        <v/>
      </c>
      <c r="E85" t="e">
        <f>IF(OR(D85=#REF!,D85=$T$1,D85=$U$1),D85,IF(RIGHT(D85,4)&gt;RIGHT($U$1,4),$U$1,IF(D85="","",#REF!)))</f>
        <v>#REF!</v>
      </c>
      <c r="F85" t="str">
        <f t="shared" si="31"/>
        <v/>
      </c>
      <c r="G85" s="2" t="str">
        <f t="shared" si="33"/>
        <v/>
      </c>
      <c r="H85" s="2" t="str">
        <f t="shared" si="33"/>
        <v/>
      </c>
      <c r="I85" s="2" t="str">
        <f t="shared" si="33"/>
        <v/>
      </c>
      <c r="J85" s="2" t="str">
        <f t="shared" si="30"/>
        <v/>
      </c>
      <c r="K85" s="5" t="str">
        <f t="shared" si="32"/>
        <v/>
      </c>
      <c r="L85" s="5" t="str">
        <f t="shared" si="32"/>
        <v/>
      </c>
      <c r="M85" s="5" t="str">
        <f t="shared" si="32"/>
        <v/>
      </c>
      <c r="N85" s="5" t="str">
        <f t="shared" si="32"/>
        <v/>
      </c>
      <c r="O85" s="5" t="str">
        <f t="shared" si="32"/>
        <v/>
      </c>
      <c r="P85" s="5" t="str">
        <f t="shared" si="32"/>
        <v/>
      </c>
      <c r="Q85" s="5" t="str">
        <f t="shared" si="32"/>
        <v/>
      </c>
    </row>
    <row r="86" spans="1:17" x14ac:dyDescent="0.25">
      <c r="A86" s="22">
        <v>81</v>
      </c>
      <c r="B86" s="4" t="str">
        <f t="shared" si="27"/>
        <v/>
      </c>
      <c r="C86" s="4" t="str">
        <f t="shared" si="28"/>
        <v/>
      </c>
      <c r="D86" t="str">
        <f t="shared" si="29"/>
        <v/>
      </c>
      <c r="E86" t="e">
        <f>IF(OR(D86=#REF!,D86=$T$1,D86=$U$1),D86,IF(RIGHT(D86,4)&gt;RIGHT($U$1,4),$U$1,IF(D86="","",#REF!)))</f>
        <v>#REF!</v>
      </c>
      <c r="F86" t="str">
        <f t="shared" si="31"/>
        <v/>
      </c>
      <c r="G86" s="2" t="str">
        <f t="shared" si="33"/>
        <v/>
      </c>
      <c r="H86" s="2" t="str">
        <f t="shared" si="33"/>
        <v/>
      </c>
      <c r="I86" s="2" t="str">
        <f t="shared" si="33"/>
        <v/>
      </c>
      <c r="J86" s="2" t="str">
        <f t="shared" si="30"/>
        <v/>
      </c>
      <c r="K86" s="5" t="str">
        <f t="shared" ref="K86:Q95" si="34">IF(ISERROR(IF(RIGHT($E86,4)&gt;RIGHT($U$1,4),INDEX($V$43:$X$55,MATCH(K$5,$T$43:$T$55,0),MATCH($U$1,$V$42:$X$42,0)),INDEX($V$43:$X$55,MATCH(K$5,$T$43:$T$55,0),MATCH($E86,$V$42:$X$42,0)))),"",
IF(OR(K$5="FTS",K$5="PTU",K$5="PTS",K$5="PTG"),
IF($C86="Summer",
IF(RIGHT($E86,4)&gt;RIGHT($U$1,4),INDEX($V$43:$X$55,MATCH(K$5,$T$43:$T$55,0),MATCH($U$1,$V$42:$X$42,0)),INDEX($V$43:$X$55,MATCH(K$5,$T$43:$T$55,0),MATCH($E86,$V$42:$X$42,0))),0),IF(RIGHT($E86,4)&gt;RIGHT($U$1,4),INDEX($V$43:$X$55,MATCH(K$5,$T$43:$T$55,0),MATCH($U$1,$V$42:$X$42,0)),INDEX($V$43:$X$55,MATCH(K$5,$T$43:$T$55,0),MATCH($E86,$V$42:$X$42,0)))))</f>
        <v/>
      </c>
      <c r="L86" s="5" t="str">
        <f t="shared" si="34"/>
        <v/>
      </c>
      <c r="M86" s="5" t="str">
        <f t="shared" si="34"/>
        <v/>
      </c>
      <c r="N86" s="5" t="str">
        <f t="shared" si="34"/>
        <v/>
      </c>
      <c r="O86" s="5" t="str">
        <f t="shared" si="34"/>
        <v/>
      </c>
      <c r="P86" s="5" t="str">
        <f t="shared" si="34"/>
        <v/>
      </c>
      <c r="Q86" s="5" t="str">
        <f t="shared" si="34"/>
        <v/>
      </c>
    </row>
    <row r="87" spans="1:17" x14ac:dyDescent="0.25">
      <c r="A87" s="22">
        <v>82</v>
      </c>
      <c r="B87" s="4" t="str">
        <f t="shared" si="27"/>
        <v/>
      </c>
      <c r="C87" s="4" t="str">
        <f t="shared" si="28"/>
        <v/>
      </c>
      <c r="D87" t="str">
        <f t="shared" si="29"/>
        <v/>
      </c>
      <c r="E87" t="e">
        <f>IF(OR(D87=#REF!,D87=$T$1,D87=$U$1),D87,IF(RIGHT(D87,4)&gt;RIGHT($U$1,4),$U$1,IF(D87="","",#REF!)))</f>
        <v>#REF!</v>
      </c>
      <c r="F87" t="str">
        <f t="shared" si="31"/>
        <v/>
      </c>
      <c r="G87" s="2" t="str">
        <f t="shared" si="33"/>
        <v/>
      </c>
      <c r="H87" s="2" t="str">
        <f t="shared" si="33"/>
        <v/>
      </c>
      <c r="I87" s="2" t="str">
        <f t="shared" si="33"/>
        <v/>
      </c>
      <c r="J87" s="2" t="str">
        <f t="shared" si="30"/>
        <v/>
      </c>
      <c r="K87" s="5" t="str">
        <f t="shared" si="34"/>
        <v/>
      </c>
      <c r="L87" s="5" t="str">
        <f t="shared" si="34"/>
        <v/>
      </c>
      <c r="M87" s="5" t="str">
        <f t="shared" si="34"/>
        <v/>
      </c>
      <c r="N87" s="5" t="str">
        <f t="shared" si="34"/>
        <v/>
      </c>
      <c r="O87" s="5" t="str">
        <f t="shared" si="34"/>
        <v/>
      </c>
      <c r="P87" s="5" t="str">
        <f t="shared" si="34"/>
        <v/>
      </c>
      <c r="Q87" s="5" t="str">
        <f t="shared" si="34"/>
        <v/>
      </c>
    </row>
    <row r="88" spans="1:17" x14ac:dyDescent="0.25">
      <c r="A88" s="22">
        <v>83</v>
      </c>
      <c r="B88" s="4" t="str">
        <f t="shared" si="27"/>
        <v/>
      </c>
      <c r="C88" s="4" t="str">
        <f t="shared" si="28"/>
        <v/>
      </c>
      <c r="D88" t="str">
        <f t="shared" si="29"/>
        <v/>
      </c>
      <c r="E88" t="e">
        <f>IF(OR(D88=#REF!,D88=$T$1,D88=$U$1),D88,IF(RIGHT(D88,4)&gt;RIGHT($U$1,4),$U$1,IF(D88="","",#REF!)))</f>
        <v>#REF!</v>
      </c>
      <c r="F88" t="str">
        <f t="shared" si="31"/>
        <v/>
      </c>
      <c r="G88" s="2" t="str">
        <f t="shared" si="33"/>
        <v/>
      </c>
      <c r="H88" s="2" t="str">
        <f t="shared" si="33"/>
        <v/>
      </c>
      <c r="I88" s="2" t="str">
        <f t="shared" si="33"/>
        <v/>
      </c>
      <c r="J88" s="2" t="str">
        <f t="shared" si="30"/>
        <v/>
      </c>
      <c r="K88" s="5" t="str">
        <f t="shared" si="34"/>
        <v/>
      </c>
      <c r="L88" s="5" t="str">
        <f t="shared" si="34"/>
        <v/>
      </c>
      <c r="M88" s="5" t="str">
        <f t="shared" si="34"/>
        <v/>
      </c>
      <c r="N88" s="5" t="str">
        <f t="shared" si="34"/>
        <v/>
      </c>
      <c r="O88" s="5" t="str">
        <f t="shared" si="34"/>
        <v/>
      </c>
      <c r="P88" s="5" t="str">
        <f t="shared" si="34"/>
        <v/>
      </c>
      <c r="Q88" s="5" t="str">
        <f t="shared" si="34"/>
        <v/>
      </c>
    </row>
    <row r="89" spans="1:17" x14ac:dyDescent="0.25">
      <c r="A89" s="22">
        <v>84</v>
      </c>
      <c r="B89" s="4" t="str">
        <f t="shared" si="27"/>
        <v/>
      </c>
      <c r="C89" s="4" t="str">
        <f t="shared" si="28"/>
        <v/>
      </c>
      <c r="D89" t="str">
        <f t="shared" si="29"/>
        <v/>
      </c>
      <c r="E89" t="e">
        <f>IF(OR(D89=#REF!,D89=$T$1,D89=$U$1),D89,IF(RIGHT(D89,4)&gt;RIGHT($U$1,4),$U$1,IF(D89="","",#REF!)))</f>
        <v>#REF!</v>
      </c>
      <c r="F89" t="str">
        <f t="shared" si="31"/>
        <v/>
      </c>
      <c r="G89" s="2" t="str">
        <f t="shared" si="33"/>
        <v/>
      </c>
      <c r="H89" s="2" t="str">
        <f t="shared" si="33"/>
        <v/>
      </c>
      <c r="I89" s="2" t="str">
        <f t="shared" si="33"/>
        <v/>
      </c>
      <c r="J89" s="2" t="str">
        <f t="shared" si="30"/>
        <v/>
      </c>
      <c r="K89" s="5" t="str">
        <f t="shared" si="34"/>
        <v/>
      </c>
      <c r="L89" s="5" t="str">
        <f t="shared" si="34"/>
        <v/>
      </c>
      <c r="M89" s="5" t="str">
        <f t="shared" si="34"/>
        <v/>
      </c>
      <c r="N89" s="5" t="str">
        <f t="shared" si="34"/>
        <v/>
      </c>
      <c r="O89" s="5" t="str">
        <f t="shared" si="34"/>
        <v/>
      </c>
      <c r="P89" s="5" t="str">
        <f t="shared" si="34"/>
        <v/>
      </c>
      <c r="Q89" s="5" t="str">
        <f t="shared" si="34"/>
        <v/>
      </c>
    </row>
    <row r="90" spans="1:17" x14ac:dyDescent="0.25">
      <c r="A90" s="22">
        <v>85</v>
      </c>
      <c r="B90" s="4" t="str">
        <f t="shared" si="27"/>
        <v/>
      </c>
      <c r="C90" s="4" t="str">
        <f t="shared" si="28"/>
        <v/>
      </c>
      <c r="D90" t="str">
        <f t="shared" si="29"/>
        <v/>
      </c>
      <c r="E90" t="e">
        <f>IF(OR(D90=#REF!,D90=$T$1,D90=$U$1),D90,IF(RIGHT(D90,4)&gt;RIGHT($U$1,4),$U$1,IF(D90="","",#REF!)))</f>
        <v>#REF!</v>
      </c>
      <c r="F90" t="str">
        <f t="shared" si="31"/>
        <v/>
      </c>
      <c r="G90" s="2" t="str">
        <f t="shared" si="33"/>
        <v/>
      </c>
      <c r="H90" s="2" t="str">
        <f t="shared" si="33"/>
        <v/>
      </c>
      <c r="I90" s="2" t="str">
        <f t="shared" si="33"/>
        <v/>
      </c>
      <c r="J90" s="2" t="str">
        <f t="shared" si="30"/>
        <v/>
      </c>
      <c r="K90" s="5" t="str">
        <f t="shared" si="34"/>
        <v/>
      </c>
      <c r="L90" s="5" t="str">
        <f t="shared" si="34"/>
        <v/>
      </c>
      <c r="M90" s="5" t="str">
        <f t="shared" si="34"/>
        <v/>
      </c>
      <c r="N90" s="5" t="str">
        <f t="shared" si="34"/>
        <v/>
      </c>
      <c r="O90" s="5" t="str">
        <f t="shared" si="34"/>
        <v/>
      </c>
      <c r="P90" s="5" t="str">
        <f t="shared" si="34"/>
        <v/>
      </c>
      <c r="Q90" s="5" t="str">
        <f t="shared" si="34"/>
        <v/>
      </c>
    </row>
    <row r="91" spans="1:17" x14ac:dyDescent="0.25">
      <c r="A91" s="22">
        <v>86</v>
      </c>
      <c r="B91" s="4" t="str">
        <f t="shared" si="27"/>
        <v/>
      </c>
      <c r="C91" s="4" t="str">
        <f t="shared" si="28"/>
        <v/>
      </c>
      <c r="D91" t="str">
        <f t="shared" si="29"/>
        <v/>
      </c>
      <c r="E91" t="e">
        <f>IF(OR(D91=#REF!,D91=$T$1,D91=$U$1),D91,IF(RIGHT(D91,4)&gt;RIGHT($U$1,4),$U$1,IF(D91="","",#REF!)))</f>
        <v>#REF!</v>
      </c>
      <c r="F91" t="str">
        <f t="shared" si="31"/>
        <v/>
      </c>
      <c r="G91" s="2" t="str">
        <f t="shared" si="33"/>
        <v/>
      </c>
      <c r="H91" s="2" t="str">
        <f t="shared" si="33"/>
        <v/>
      </c>
      <c r="I91" s="2" t="str">
        <f t="shared" si="33"/>
        <v/>
      </c>
      <c r="J91" s="2" t="str">
        <f t="shared" si="30"/>
        <v/>
      </c>
      <c r="K91" s="5" t="str">
        <f t="shared" si="34"/>
        <v/>
      </c>
      <c r="L91" s="5" t="str">
        <f t="shared" si="34"/>
        <v/>
      </c>
      <c r="M91" s="5" t="str">
        <f t="shared" si="34"/>
        <v/>
      </c>
      <c r="N91" s="5" t="str">
        <f t="shared" si="34"/>
        <v/>
      </c>
      <c r="O91" s="5" t="str">
        <f t="shared" si="34"/>
        <v/>
      </c>
      <c r="P91" s="5" t="str">
        <f t="shared" si="34"/>
        <v/>
      </c>
      <c r="Q91" s="5" t="str">
        <f t="shared" si="34"/>
        <v/>
      </c>
    </row>
    <row r="92" spans="1:17" x14ac:dyDescent="0.25">
      <c r="A92" s="22">
        <v>87</v>
      </c>
      <c r="B92" s="4" t="str">
        <f t="shared" si="27"/>
        <v/>
      </c>
      <c r="C92" s="4" t="str">
        <f t="shared" si="28"/>
        <v/>
      </c>
      <c r="D92" t="str">
        <f t="shared" si="29"/>
        <v/>
      </c>
      <c r="E92" t="e">
        <f>IF(OR(D92=#REF!,D92=$T$1,D92=$U$1),D92,IF(RIGHT(D92,4)&gt;RIGHT($U$1,4),$U$1,IF(D92="","",#REF!)))</f>
        <v>#REF!</v>
      </c>
      <c r="F92" t="str">
        <f t="shared" si="31"/>
        <v/>
      </c>
      <c r="G92" s="2" t="str">
        <f t="shared" si="33"/>
        <v/>
      </c>
      <c r="H92" s="2" t="str">
        <f t="shared" si="33"/>
        <v/>
      </c>
      <c r="I92" s="2" t="str">
        <f t="shared" si="33"/>
        <v/>
      </c>
      <c r="J92" s="2" t="str">
        <f t="shared" si="30"/>
        <v/>
      </c>
      <c r="K92" s="5" t="str">
        <f t="shared" si="34"/>
        <v/>
      </c>
      <c r="L92" s="5" t="str">
        <f t="shared" si="34"/>
        <v/>
      </c>
      <c r="M92" s="5" t="str">
        <f t="shared" si="34"/>
        <v/>
      </c>
      <c r="N92" s="5" t="str">
        <f t="shared" si="34"/>
        <v/>
      </c>
      <c r="O92" s="5" t="str">
        <f t="shared" si="34"/>
        <v/>
      </c>
      <c r="P92" s="5" t="str">
        <f t="shared" si="34"/>
        <v/>
      </c>
      <c r="Q92" s="5" t="str">
        <f t="shared" si="34"/>
        <v/>
      </c>
    </row>
    <row r="93" spans="1:17" x14ac:dyDescent="0.25">
      <c r="A93" s="22">
        <v>88</v>
      </c>
      <c r="B93" s="4" t="str">
        <f t="shared" si="27"/>
        <v/>
      </c>
      <c r="C93" s="4" t="str">
        <f t="shared" si="28"/>
        <v/>
      </c>
      <c r="D93" t="str">
        <f t="shared" si="29"/>
        <v/>
      </c>
      <c r="E93" t="e">
        <f>IF(OR(D93=#REF!,D93=$T$1,D93=$U$1),D93,IF(RIGHT(D93,4)&gt;RIGHT($U$1,4),$U$1,IF(D93="","",#REF!)))</f>
        <v>#REF!</v>
      </c>
      <c r="F93" t="str">
        <f t="shared" si="31"/>
        <v/>
      </c>
      <c r="G93" s="2" t="str">
        <f t="shared" si="33"/>
        <v/>
      </c>
      <c r="H93" s="2" t="str">
        <f t="shared" si="33"/>
        <v/>
      </c>
      <c r="I93" s="2" t="str">
        <f t="shared" si="33"/>
        <v/>
      </c>
      <c r="J93" s="2" t="str">
        <f t="shared" si="30"/>
        <v/>
      </c>
      <c r="K93" s="5" t="str">
        <f t="shared" si="34"/>
        <v/>
      </c>
      <c r="L93" s="5" t="str">
        <f t="shared" si="34"/>
        <v/>
      </c>
      <c r="M93" s="5" t="str">
        <f t="shared" si="34"/>
        <v/>
      </c>
      <c r="N93" s="5" t="str">
        <f t="shared" si="34"/>
        <v/>
      </c>
      <c r="O93" s="5" t="str">
        <f t="shared" si="34"/>
        <v/>
      </c>
      <c r="P93" s="5" t="str">
        <f t="shared" si="34"/>
        <v/>
      </c>
      <c r="Q93" s="5" t="str">
        <f t="shared" si="34"/>
        <v/>
      </c>
    </row>
    <row r="94" spans="1:17" x14ac:dyDescent="0.25">
      <c r="A94" s="22">
        <v>89</v>
      </c>
      <c r="B94" s="4" t="str">
        <f t="shared" si="27"/>
        <v/>
      </c>
      <c r="C94" s="4" t="str">
        <f t="shared" si="28"/>
        <v/>
      </c>
      <c r="D94" t="str">
        <f t="shared" si="29"/>
        <v/>
      </c>
      <c r="E94" t="e">
        <f>IF(OR(D94=#REF!,D94=$T$1,D94=$U$1),D94,IF(RIGHT(D94,4)&gt;RIGHT($U$1,4),$U$1,IF(D94="","",#REF!)))</f>
        <v>#REF!</v>
      </c>
      <c r="F94" t="str">
        <f t="shared" si="31"/>
        <v/>
      </c>
      <c r="G94" s="2" t="str">
        <f t="shared" si="33"/>
        <v/>
      </c>
      <c r="H94" s="2" t="str">
        <f t="shared" si="33"/>
        <v/>
      </c>
      <c r="I94" s="2" t="str">
        <f t="shared" si="33"/>
        <v/>
      </c>
      <c r="J94" s="2" t="str">
        <f t="shared" si="30"/>
        <v/>
      </c>
      <c r="K94" s="5" t="str">
        <f t="shared" si="34"/>
        <v/>
      </c>
      <c r="L94" s="5" t="str">
        <f t="shared" si="34"/>
        <v/>
      </c>
      <c r="M94" s="5" t="str">
        <f t="shared" si="34"/>
        <v/>
      </c>
      <c r="N94" s="5" t="str">
        <f t="shared" si="34"/>
        <v/>
      </c>
      <c r="O94" s="5" t="str">
        <f t="shared" si="34"/>
        <v/>
      </c>
      <c r="P94" s="5" t="str">
        <f t="shared" si="34"/>
        <v/>
      </c>
      <c r="Q94" s="5" t="str">
        <f t="shared" si="34"/>
        <v/>
      </c>
    </row>
    <row r="95" spans="1:17" x14ac:dyDescent="0.25">
      <c r="A95" s="22">
        <v>90</v>
      </c>
      <c r="B95" s="4" t="str">
        <f t="shared" si="27"/>
        <v/>
      </c>
      <c r="C95" s="4" t="str">
        <f t="shared" si="28"/>
        <v/>
      </c>
      <c r="D95" t="str">
        <f t="shared" si="29"/>
        <v/>
      </c>
      <c r="E95" t="e">
        <f>IF(OR(D95=#REF!,D95=$T$1,D95=$U$1),D95,IF(RIGHT(D95,4)&gt;RIGHT($U$1,4),$U$1,IF(D95="","",#REF!)))</f>
        <v>#REF!</v>
      </c>
      <c r="F95" t="str">
        <f t="shared" si="31"/>
        <v/>
      </c>
      <c r="G95" s="2" t="str">
        <f t="shared" si="33"/>
        <v/>
      </c>
      <c r="H95" s="2" t="str">
        <f t="shared" si="33"/>
        <v/>
      </c>
      <c r="I95" s="2" t="str">
        <f t="shared" si="33"/>
        <v/>
      </c>
      <c r="J95" s="2" t="str">
        <f t="shared" si="30"/>
        <v/>
      </c>
      <c r="K95" s="5" t="str">
        <f t="shared" si="34"/>
        <v/>
      </c>
      <c r="L95" s="5" t="str">
        <f t="shared" si="34"/>
        <v/>
      </c>
      <c r="M95" s="5" t="str">
        <f t="shared" si="34"/>
        <v/>
      </c>
      <c r="N95" s="5" t="str">
        <f t="shared" si="34"/>
        <v/>
      </c>
      <c r="O95" s="5" t="str">
        <f t="shared" si="34"/>
        <v/>
      </c>
      <c r="P95" s="5" t="str">
        <f t="shared" si="34"/>
        <v/>
      </c>
      <c r="Q95" s="5" t="str">
        <f t="shared" si="34"/>
        <v/>
      </c>
    </row>
    <row r="96" spans="1:17" x14ac:dyDescent="0.25">
      <c r="A96" s="22">
        <v>91</v>
      </c>
      <c r="B96" s="4" t="str">
        <f t="shared" si="27"/>
        <v/>
      </c>
      <c r="C96" s="4" t="str">
        <f t="shared" si="28"/>
        <v/>
      </c>
      <c r="D96" t="str">
        <f t="shared" si="29"/>
        <v/>
      </c>
      <c r="E96" t="e">
        <f>IF(OR(D96=#REF!,D96=$T$1,D96=$U$1),D96,IF(RIGHT(D96,4)&gt;RIGHT($U$1,4),$U$1,IF(D96="","",#REF!)))</f>
        <v>#REF!</v>
      </c>
      <c r="F96" t="str">
        <f t="shared" si="31"/>
        <v/>
      </c>
      <c r="G96" s="2" t="str">
        <f t="shared" si="33"/>
        <v/>
      </c>
      <c r="H96" s="2" t="str">
        <f t="shared" si="33"/>
        <v/>
      </c>
      <c r="I96" s="2" t="str">
        <f t="shared" si="33"/>
        <v/>
      </c>
      <c r="J96" s="2" t="str">
        <f t="shared" si="30"/>
        <v/>
      </c>
      <c r="K96" s="5" t="str">
        <f t="shared" ref="K96:Q105" si="35">IF(ISERROR(IF(RIGHT($E96,4)&gt;RIGHT($U$1,4),INDEX($V$43:$X$55,MATCH(K$5,$T$43:$T$55,0),MATCH($U$1,$V$42:$X$42,0)),INDEX($V$43:$X$55,MATCH(K$5,$T$43:$T$55,0),MATCH($E96,$V$42:$X$42,0)))),"",
IF(OR(K$5="FTS",K$5="PTU",K$5="PTS",K$5="PTG"),
IF($C96="Summer",
IF(RIGHT($E96,4)&gt;RIGHT($U$1,4),INDEX($V$43:$X$55,MATCH(K$5,$T$43:$T$55,0),MATCH($U$1,$V$42:$X$42,0)),INDEX($V$43:$X$55,MATCH(K$5,$T$43:$T$55,0),MATCH($E96,$V$42:$X$42,0))),0),IF(RIGHT($E96,4)&gt;RIGHT($U$1,4),INDEX($V$43:$X$55,MATCH(K$5,$T$43:$T$55,0),MATCH($U$1,$V$42:$X$42,0)),INDEX($V$43:$X$55,MATCH(K$5,$T$43:$T$55,0),MATCH($E96,$V$42:$X$42,0)))))</f>
        <v/>
      </c>
      <c r="L96" s="5" t="str">
        <f t="shared" si="35"/>
        <v/>
      </c>
      <c r="M96" s="5" t="str">
        <f t="shared" si="35"/>
        <v/>
      </c>
      <c r="N96" s="5" t="str">
        <f t="shared" si="35"/>
        <v/>
      </c>
      <c r="O96" s="5" t="str">
        <f t="shared" si="35"/>
        <v/>
      </c>
      <c r="P96" s="5" t="str">
        <f t="shared" si="35"/>
        <v/>
      </c>
      <c r="Q96" s="5" t="str">
        <f t="shared" si="35"/>
        <v/>
      </c>
    </row>
    <row r="97" spans="1:17" x14ac:dyDescent="0.25">
      <c r="A97" s="22">
        <v>92</v>
      </c>
      <c r="B97" s="4" t="str">
        <f t="shared" si="27"/>
        <v/>
      </c>
      <c r="C97" s="4" t="str">
        <f t="shared" si="28"/>
        <v/>
      </c>
      <c r="D97" t="str">
        <f t="shared" si="29"/>
        <v/>
      </c>
      <c r="E97" t="e">
        <f>IF(OR(D97=#REF!,D97=$T$1,D97=$U$1),D97,IF(RIGHT(D97,4)&gt;RIGHT($U$1,4),$U$1,IF(D97="","",#REF!)))</f>
        <v>#REF!</v>
      </c>
      <c r="F97" t="str">
        <f t="shared" si="31"/>
        <v/>
      </c>
      <c r="G97" s="2" t="str">
        <f t="shared" si="33"/>
        <v/>
      </c>
      <c r="H97" s="2" t="str">
        <f t="shared" si="33"/>
        <v/>
      </c>
      <c r="I97" s="2" t="str">
        <f t="shared" si="33"/>
        <v/>
      </c>
      <c r="J97" s="2" t="str">
        <f t="shared" si="30"/>
        <v/>
      </c>
      <c r="K97" s="5" t="str">
        <f t="shared" si="35"/>
        <v/>
      </c>
      <c r="L97" s="5" t="str">
        <f t="shared" si="35"/>
        <v/>
      </c>
      <c r="M97" s="5" t="str">
        <f t="shared" si="35"/>
        <v/>
      </c>
      <c r="N97" s="5" t="str">
        <f t="shared" si="35"/>
        <v/>
      </c>
      <c r="O97" s="5" t="str">
        <f t="shared" si="35"/>
        <v/>
      </c>
      <c r="P97" s="5" t="str">
        <f t="shared" si="35"/>
        <v/>
      </c>
      <c r="Q97" s="5" t="str">
        <f t="shared" si="35"/>
        <v/>
      </c>
    </row>
    <row r="98" spans="1:17" x14ac:dyDescent="0.25">
      <c r="A98" s="22">
        <v>93</v>
      </c>
      <c r="B98" s="4" t="str">
        <f t="shared" si="27"/>
        <v/>
      </c>
      <c r="C98" s="4" t="str">
        <f t="shared" si="28"/>
        <v/>
      </c>
      <c r="D98" t="str">
        <f t="shared" si="29"/>
        <v/>
      </c>
      <c r="E98" t="e">
        <f>IF(OR(D98=#REF!,D98=$T$1,D98=$U$1),D98,IF(RIGHT(D98,4)&gt;RIGHT($U$1,4),$U$1,IF(D98="","",#REF!)))</f>
        <v>#REF!</v>
      </c>
      <c r="F98" t="str">
        <f t="shared" si="31"/>
        <v/>
      </c>
      <c r="G98" s="2" t="str">
        <f t="shared" si="33"/>
        <v/>
      </c>
      <c r="H98" s="2" t="str">
        <f t="shared" si="33"/>
        <v/>
      </c>
      <c r="I98" s="2" t="str">
        <f t="shared" si="33"/>
        <v/>
      </c>
      <c r="J98" s="2" t="str">
        <f t="shared" si="30"/>
        <v/>
      </c>
      <c r="K98" s="5" t="str">
        <f t="shared" si="35"/>
        <v/>
      </c>
      <c r="L98" s="5" t="str">
        <f t="shared" si="35"/>
        <v/>
      </c>
      <c r="M98" s="5" t="str">
        <f t="shared" si="35"/>
        <v/>
      </c>
      <c r="N98" s="5" t="str">
        <f t="shared" si="35"/>
        <v/>
      </c>
      <c r="O98" s="5" t="str">
        <f t="shared" si="35"/>
        <v/>
      </c>
      <c r="P98" s="5" t="str">
        <f t="shared" si="35"/>
        <v/>
      </c>
      <c r="Q98" s="5" t="str">
        <f t="shared" si="35"/>
        <v/>
      </c>
    </row>
    <row r="99" spans="1:17" x14ac:dyDescent="0.25">
      <c r="A99" s="22">
        <v>94</v>
      </c>
      <c r="B99" s="4" t="str">
        <f t="shared" si="27"/>
        <v/>
      </c>
      <c r="C99" s="4" t="str">
        <f t="shared" si="28"/>
        <v/>
      </c>
      <c r="D99" t="str">
        <f t="shared" si="29"/>
        <v/>
      </c>
      <c r="E99" t="e">
        <f>IF(OR(D99=#REF!,D99=$T$1,D99=$U$1),D99,IF(RIGHT(D99,4)&gt;RIGHT($U$1,4),$U$1,IF(D99="","",#REF!)))</f>
        <v>#REF!</v>
      </c>
      <c r="F99" t="str">
        <f t="shared" si="31"/>
        <v/>
      </c>
      <c r="G99" s="2" t="str">
        <f t="shared" si="33"/>
        <v/>
      </c>
      <c r="H99" s="2" t="str">
        <f t="shared" si="33"/>
        <v/>
      </c>
      <c r="I99" s="2" t="str">
        <f t="shared" si="33"/>
        <v/>
      </c>
      <c r="J99" s="2" t="str">
        <f t="shared" si="30"/>
        <v/>
      </c>
      <c r="K99" s="5" t="str">
        <f t="shared" si="35"/>
        <v/>
      </c>
      <c r="L99" s="5" t="str">
        <f t="shared" si="35"/>
        <v/>
      </c>
      <c r="M99" s="5" t="str">
        <f t="shared" si="35"/>
        <v/>
      </c>
      <c r="N99" s="5" t="str">
        <f t="shared" si="35"/>
        <v/>
      </c>
      <c r="O99" s="5" t="str">
        <f t="shared" si="35"/>
        <v/>
      </c>
      <c r="P99" s="5" t="str">
        <f t="shared" si="35"/>
        <v/>
      </c>
      <c r="Q99" s="5" t="str">
        <f t="shared" si="35"/>
        <v/>
      </c>
    </row>
    <row r="100" spans="1:17" x14ac:dyDescent="0.25">
      <c r="A100" s="22">
        <v>95</v>
      </c>
      <c r="B100" s="4" t="str">
        <f t="shared" si="27"/>
        <v/>
      </c>
      <c r="C100" s="4" t="str">
        <f t="shared" si="28"/>
        <v/>
      </c>
      <c r="D100" t="str">
        <f t="shared" si="29"/>
        <v/>
      </c>
      <c r="E100" t="e">
        <f>IF(OR(D100=#REF!,D100=$T$1,D100=$U$1),D100,IF(RIGHT(D100,4)&gt;RIGHT($U$1,4),$U$1,IF(D100="","",#REF!)))</f>
        <v>#REF!</v>
      </c>
      <c r="F100" t="str">
        <f t="shared" si="31"/>
        <v/>
      </c>
      <c r="G100" s="2" t="str">
        <f t="shared" si="33"/>
        <v/>
      </c>
      <c r="H100" s="2" t="str">
        <f t="shared" si="33"/>
        <v/>
      </c>
      <c r="I100" s="2" t="str">
        <f t="shared" si="33"/>
        <v/>
      </c>
      <c r="J100" s="2" t="str">
        <f t="shared" si="30"/>
        <v/>
      </c>
      <c r="K100" s="5" t="str">
        <f t="shared" si="35"/>
        <v/>
      </c>
      <c r="L100" s="5" t="str">
        <f t="shared" si="35"/>
        <v/>
      </c>
      <c r="M100" s="5" t="str">
        <f t="shared" si="35"/>
        <v/>
      </c>
      <c r="N100" s="5" t="str">
        <f t="shared" si="35"/>
        <v/>
      </c>
      <c r="O100" s="5" t="str">
        <f t="shared" si="35"/>
        <v/>
      </c>
      <c r="P100" s="5" t="str">
        <f t="shared" si="35"/>
        <v/>
      </c>
      <c r="Q100" s="5" t="str">
        <f t="shared" si="35"/>
        <v/>
      </c>
    </row>
    <row r="101" spans="1:17" x14ac:dyDescent="0.25">
      <c r="A101" s="22">
        <v>96</v>
      </c>
      <c r="B101" s="4" t="str">
        <f t="shared" si="27"/>
        <v/>
      </c>
      <c r="C101" s="4" t="str">
        <f t="shared" si="28"/>
        <v/>
      </c>
      <c r="D101" t="str">
        <f t="shared" si="29"/>
        <v/>
      </c>
      <c r="E101" t="e">
        <f>IF(OR(D101=#REF!,D101=$T$1,D101=$U$1),D101,IF(RIGHT(D101,4)&gt;RIGHT($U$1,4),$U$1,IF(D101="","",#REF!)))</f>
        <v>#REF!</v>
      </c>
      <c r="F101" t="str">
        <f t="shared" si="31"/>
        <v/>
      </c>
      <c r="G101" s="2" t="str">
        <f t="shared" ref="G101:I116" si="36">IF(ISERROR(INDEX($AB$17:$AD$34, MATCH($F101,$AA$17:$AA$34,0), MATCH(G$5,$AB$16:$AD$16,0))),"",INDEX($AB$17:$AD$34, MATCH($F101,$AA$17:$AA$34,0), MATCH(G$5,$AB$16:$AD$16,0)))</f>
        <v/>
      </c>
      <c r="H101" s="2" t="str">
        <f t="shared" si="36"/>
        <v/>
      </c>
      <c r="I101" s="2" t="str">
        <f t="shared" si="36"/>
        <v/>
      </c>
      <c r="J101" s="2" t="str">
        <f t="shared" si="30"/>
        <v/>
      </c>
      <c r="K101" s="5" t="str">
        <f t="shared" si="35"/>
        <v/>
      </c>
      <c r="L101" s="5" t="str">
        <f t="shared" si="35"/>
        <v/>
      </c>
      <c r="M101" s="5" t="str">
        <f t="shared" si="35"/>
        <v/>
      </c>
      <c r="N101" s="5" t="str">
        <f t="shared" si="35"/>
        <v/>
      </c>
      <c r="O101" s="5" t="str">
        <f t="shared" si="35"/>
        <v/>
      </c>
      <c r="P101" s="5" t="str">
        <f t="shared" si="35"/>
        <v/>
      </c>
      <c r="Q101" s="5" t="str">
        <f t="shared" si="35"/>
        <v/>
      </c>
    </row>
    <row r="102" spans="1:17" x14ac:dyDescent="0.25">
      <c r="A102" s="22">
        <v>97</v>
      </c>
      <c r="B102" s="4" t="str">
        <f t="shared" si="27"/>
        <v/>
      </c>
      <c r="C102" s="4" t="str">
        <f t="shared" si="28"/>
        <v/>
      </c>
      <c r="D102" t="str">
        <f t="shared" si="29"/>
        <v/>
      </c>
      <c r="E102" t="e">
        <f>IF(OR(D102=#REF!,D102=$T$1,D102=$U$1),D102,IF(RIGHT(D102,4)&gt;RIGHT($U$1,4),$U$1,IF(D102="","",#REF!)))</f>
        <v>#REF!</v>
      </c>
      <c r="F102" t="str">
        <f t="shared" si="31"/>
        <v/>
      </c>
      <c r="G102" s="2" t="str">
        <f t="shared" si="36"/>
        <v/>
      </c>
      <c r="H102" s="2" t="str">
        <f t="shared" si="36"/>
        <v/>
      </c>
      <c r="I102" s="2" t="str">
        <f t="shared" si="36"/>
        <v/>
      </c>
      <c r="J102" s="2" t="str">
        <f t="shared" si="30"/>
        <v/>
      </c>
      <c r="K102" s="5" t="str">
        <f t="shared" si="35"/>
        <v/>
      </c>
      <c r="L102" s="5" t="str">
        <f t="shared" si="35"/>
        <v/>
      </c>
      <c r="M102" s="5" t="str">
        <f t="shared" si="35"/>
        <v/>
      </c>
      <c r="N102" s="5" t="str">
        <f t="shared" si="35"/>
        <v/>
      </c>
      <c r="O102" s="5" t="str">
        <f t="shared" si="35"/>
        <v/>
      </c>
      <c r="P102" s="5" t="str">
        <f t="shared" si="35"/>
        <v/>
      </c>
      <c r="Q102" s="5" t="str">
        <f t="shared" si="35"/>
        <v/>
      </c>
    </row>
    <row r="103" spans="1:17" x14ac:dyDescent="0.25">
      <c r="A103" s="22">
        <v>98</v>
      </c>
      <c r="B103" s="4" t="str">
        <f t="shared" si="27"/>
        <v/>
      </c>
      <c r="C103" s="4" t="str">
        <f t="shared" si="28"/>
        <v/>
      </c>
      <c r="D103" t="str">
        <f t="shared" si="29"/>
        <v/>
      </c>
      <c r="E103" t="e">
        <f>IF(OR(D103=#REF!,D103=$T$1,D103=$U$1),D103,IF(RIGHT(D103,4)&gt;RIGHT($U$1,4),$U$1,IF(D103="","",#REF!)))</f>
        <v>#REF!</v>
      </c>
      <c r="F103" t="str">
        <f t="shared" si="31"/>
        <v/>
      </c>
      <c r="G103" s="2" t="str">
        <f t="shared" si="36"/>
        <v/>
      </c>
      <c r="H103" s="2" t="str">
        <f t="shared" si="36"/>
        <v/>
      </c>
      <c r="I103" s="2" t="str">
        <f t="shared" si="36"/>
        <v/>
      </c>
      <c r="J103" s="2" t="str">
        <f t="shared" si="30"/>
        <v/>
      </c>
      <c r="K103" s="5" t="str">
        <f t="shared" si="35"/>
        <v/>
      </c>
      <c r="L103" s="5" t="str">
        <f t="shared" si="35"/>
        <v/>
      </c>
      <c r="M103" s="5" t="str">
        <f t="shared" si="35"/>
        <v/>
      </c>
      <c r="N103" s="5" t="str">
        <f t="shared" si="35"/>
        <v/>
      </c>
      <c r="O103" s="5" t="str">
        <f t="shared" si="35"/>
        <v/>
      </c>
      <c r="P103" s="5" t="str">
        <f t="shared" si="35"/>
        <v/>
      </c>
      <c r="Q103" s="5" t="str">
        <f t="shared" si="35"/>
        <v/>
      </c>
    </row>
    <row r="104" spans="1:17" x14ac:dyDescent="0.25">
      <c r="A104" s="22">
        <v>99</v>
      </c>
      <c r="B104" s="4" t="str">
        <f t="shared" si="27"/>
        <v/>
      </c>
      <c r="C104" s="4" t="str">
        <f t="shared" si="28"/>
        <v/>
      </c>
      <c r="D104" t="str">
        <f t="shared" si="29"/>
        <v/>
      </c>
      <c r="E104" t="e">
        <f>IF(OR(D104=#REF!,D104=$T$1,D104=$U$1),D104,IF(RIGHT(D104,4)&gt;RIGHT($U$1,4),$U$1,IF(D104="","",#REF!)))</f>
        <v>#REF!</v>
      </c>
      <c r="F104" t="str">
        <f t="shared" si="31"/>
        <v/>
      </c>
      <c r="G104" s="2" t="str">
        <f t="shared" si="36"/>
        <v/>
      </c>
      <c r="H104" s="2" t="str">
        <f t="shared" si="36"/>
        <v/>
      </c>
      <c r="I104" s="2" t="str">
        <f t="shared" si="36"/>
        <v/>
      </c>
      <c r="J104" s="2" t="str">
        <f t="shared" si="30"/>
        <v/>
      </c>
      <c r="K104" s="5" t="str">
        <f t="shared" si="35"/>
        <v/>
      </c>
      <c r="L104" s="5" t="str">
        <f t="shared" si="35"/>
        <v/>
      </c>
      <c r="M104" s="5" t="str">
        <f t="shared" si="35"/>
        <v/>
      </c>
      <c r="N104" s="5" t="str">
        <f t="shared" si="35"/>
        <v/>
      </c>
      <c r="O104" s="5" t="str">
        <f t="shared" si="35"/>
        <v/>
      </c>
      <c r="P104" s="5" t="str">
        <f t="shared" si="35"/>
        <v/>
      </c>
      <c r="Q104" s="5" t="str">
        <f t="shared" si="35"/>
        <v/>
      </c>
    </row>
    <row r="105" spans="1:17" x14ac:dyDescent="0.25">
      <c r="A105" s="22">
        <v>100</v>
      </c>
      <c r="B105" s="4" t="str">
        <f t="shared" si="27"/>
        <v/>
      </c>
      <c r="C105" s="4" t="str">
        <f t="shared" si="28"/>
        <v/>
      </c>
      <c r="D105" t="str">
        <f t="shared" si="29"/>
        <v/>
      </c>
      <c r="E105" t="e">
        <f>IF(OR(D105=#REF!,D105=$T$1,D105=$U$1),D105,IF(RIGHT(D105,4)&gt;RIGHT($U$1,4),$U$1,IF(D105="","",#REF!)))</f>
        <v>#REF!</v>
      </c>
      <c r="F105" t="str">
        <f t="shared" si="31"/>
        <v/>
      </c>
      <c r="G105" s="2" t="str">
        <f t="shared" si="36"/>
        <v/>
      </c>
      <c r="H105" s="2" t="str">
        <f t="shared" si="36"/>
        <v/>
      </c>
      <c r="I105" s="2" t="str">
        <f t="shared" si="36"/>
        <v/>
      </c>
      <c r="J105" s="2" t="str">
        <f t="shared" si="30"/>
        <v/>
      </c>
      <c r="K105" s="5" t="str">
        <f t="shared" si="35"/>
        <v/>
      </c>
      <c r="L105" s="5" t="str">
        <f t="shared" si="35"/>
        <v/>
      </c>
      <c r="M105" s="5" t="str">
        <f t="shared" si="35"/>
        <v/>
      </c>
      <c r="N105" s="5" t="str">
        <f t="shared" si="35"/>
        <v/>
      </c>
      <c r="O105" s="5" t="str">
        <f t="shared" si="35"/>
        <v/>
      </c>
      <c r="P105" s="5" t="str">
        <f t="shared" si="35"/>
        <v/>
      </c>
      <c r="Q105" s="5" t="str">
        <f t="shared" si="35"/>
        <v/>
      </c>
    </row>
    <row r="106" spans="1:17" x14ac:dyDescent="0.25">
      <c r="A106" s="22">
        <v>101</v>
      </c>
      <c r="B106" s="4" t="str">
        <f t="shared" si="27"/>
        <v/>
      </c>
      <c r="C106" s="4" t="str">
        <f t="shared" si="28"/>
        <v/>
      </c>
      <c r="D106" t="str">
        <f t="shared" si="29"/>
        <v/>
      </c>
      <c r="E106" t="e">
        <f>IF(OR(D106=#REF!,D106=$T$1,D106=$U$1),D106,IF(RIGHT(D106,4)&gt;RIGHT($U$1,4),$U$1,IF(D106="","",#REF!)))</f>
        <v>#REF!</v>
      </c>
      <c r="F106" t="str">
        <f t="shared" si="31"/>
        <v/>
      </c>
      <c r="G106" s="2" t="str">
        <f t="shared" si="36"/>
        <v/>
      </c>
      <c r="H106" s="2" t="str">
        <f t="shared" si="36"/>
        <v/>
      </c>
      <c r="I106" s="2" t="str">
        <f t="shared" si="36"/>
        <v/>
      </c>
      <c r="J106" s="2" t="str">
        <f t="shared" si="30"/>
        <v/>
      </c>
      <c r="K106" s="5" t="str">
        <f t="shared" ref="K106:Q115" si="37">IF(ISERROR(IF(RIGHT($E106,4)&gt;RIGHT($U$1,4),INDEX($V$43:$X$55,MATCH(K$5,$T$43:$T$55,0),MATCH($U$1,$V$42:$X$42,0)),INDEX($V$43:$X$55,MATCH(K$5,$T$43:$T$55,0),MATCH($E106,$V$42:$X$42,0)))),"",
IF(OR(K$5="FTS",K$5="PTU",K$5="PTS",K$5="PTG"),
IF($C106="Summer",
IF(RIGHT($E106,4)&gt;RIGHT($U$1,4),INDEX($V$43:$X$55,MATCH(K$5,$T$43:$T$55,0),MATCH($U$1,$V$42:$X$42,0)),INDEX($V$43:$X$55,MATCH(K$5,$T$43:$T$55,0),MATCH($E106,$V$42:$X$42,0))),0),IF(RIGHT($E106,4)&gt;RIGHT($U$1,4),INDEX($V$43:$X$55,MATCH(K$5,$T$43:$T$55,0),MATCH($U$1,$V$42:$X$42,0)),INDEX($V$43:$X$55,MATCH(K$5,$T$43:$T$55,0),MATCH($E106,$V$42:$X$42,0)))))</f>
        <v/>
      </c>
      <c r="L106" s="5" t="str">
        <f t="shared" si="37"/>
        <v/>
      </c>
      <c r="M106" s="5" t="str">
        <f t="shared" si="37"/>
        <v/>
      </c>
      <c r="N106" s="5" t="str">
        <f t="shared" si="37"/>
        <v/>
      </c>
      <c r="O106" s="5" t="str">
        <f t="shared" si="37"/>
        <v/>
      </c>
      <c r="P106" s="5" t="str">
        <f t="shared" si="37"/>
        <v/>
      </c>
      <c r="Q106" s="5" t="str">
        <f t="shared" si="37"/>
        <v/>
      </c>
    </row>
    <row r="107" spans="1:17" x14ac:dyDescent="0.25">
      <c r="A107" s="22">
        <v>102</v>
      </c>
      <c r="B107" s="4" t="str">
        <f t="shared" si="27"/>
        <v/>
      </c>
      <c r="C107" s="4" t="str">
        <f t="shared" si="28"/>
        <v/>
      </c>
      <c r="D107" t="str">
        <f t="shared" si="29"/>
        <v/>
      </c>
      <c r="E107" t="e">
        <f>IF(OR(D107=#REF!,D107=$T$1,D107=$U$1),D107,IF(RIGHT(D107,4)&gt;RIGHT($U$1,4),$U$1,IF(D107="","",#REF!)))</f>
        <v>#REF!</v>
      </c>
      <c r="F107" t="str">
        <f t="shared" si="31"/>
        <v/>
      </c>
      <c r="G107" s="2" t="str">
        <f t="shared" si="36"/>
        <v/>
      </c>
      <c r="H107" s="2" t="str">
        <f t="shared" si="36"/>
        <v/>
      </c>
      <c r="I107" s="2" t="str">
        <f t="shared" si="36"/>
        <v/>
      </c>
      <c r="J107" s="2" t="str">
        <f t="shared" si="30"/>
        <v/>
      </c>
      <c r="K107" s="5" t="str">
        <f t="shared" si="37"/>
        <v/>
      </c>
      <c r="L107" s="5" t="str">
        <f t="shared" si="37"/>
        <v/>
      </c>
      <c r="M107" s="5" t="str">
        <f t="shared" si="37"/>
        <v/>
      </c>
      <c r="N107" s="5" t="str">
        <f t="shared" si="37"/>
        <v/>
      </c>
      <c r="O107" s="5" t="str">
        <f t="shared" si="37"/>
        <v/>
      </c>
      <c r="P107" s="5" t="str">
        <f t="shared" si="37"/>
        <v/>
      </c>
      <c r="Q107" s="5" t="str">
        <f t="shared" si="37"/>
        <v/>
      </c>
    </row>
    <row r="108" spans="1:17" x14ac:dyDescent="0.25">
      <c r="A108" s="22">
        <v>103</v>
      </c>
      <c r="B108" s="4" t="str">
        <f t="shared" si="27"/>
        <v/>
      </c>
      <c r="C108" s="4" t="str">
        <f t="shared" si="28"/>
        <v/>
      </c>
      <c r="D108" t="str">
        <f t="shared" si="29"/>
        <v/>
      </c>
      <c r="E108" t="e">
        <f>IF(OR(D108=#REF!,D108=$T$1,D108=$U$1),D108,IF(RIGHT(D108,4)&gt;RIGHT($U$1,4),$U$1,IF(D108="","",#REF!)))</f>
        <v>#REF!</v>
      </c>
      <c r="F108" t="str">
        <f t="shared" si="31"/>
        <v/>
      </c>
      <c r="G108" s="2" t="str">
        <f t="shared" si="36"/>
        <v/>
      </c>
      <c r="H108" s="2" t="str">
        <f t="shared" si="36"/>
        <v/>
      </c>
      <c r="I108" s="2" t="str">
        <f t="shared" si="36"/>
        <v/>
      </c>
      <c r="J108" s="2" t="str">
        <f t="shared" si="30"/>
        <v/>
      </c>
      <c r="K108" s="5" t="str">
        <f t="shared" si="37"/>
        <v/>
      </c>
      <c r="L108" s="5" t="str">
        <f t="shared" si="37"/>
        <v/>
      </c>
      <c r="M108" s="5" t="str">
        <f t="shared" si="37"/>
        <v/>
      </c>
      <c r="N108" s="5" t="str">
        <f t="shared" si="37"/>
        <v/>
      </c>
      <c r="O108" s="5" t="str">
        <f t="shared" si="37"/>
        <v/>
      </c>
      <c r="P108" s="5" t="str">
        <f t="shared" si="37"/>
        <v/>
      </c>
      <c r="Q108" s="5" t="str">
        <f t="shared" si="37"/>
        <v/>
      </c>
    </row>
    <row r="109" spans="1:17" x14ac:dyDescent="0.25">
      <c r="A109" s="22">
        <v>104</v>
      </c>
      <c r="B109" s="4" t="str">
        <f t="shared" si="27"/>
        <v/>
      </c>
      <c r="C109" s="4" t="str">
        <f t="shared" si="28"/>
        <v/>
      </c>
      <c r="D109" t="str">
        <f t="shared" si="29"/>
        <v/>
      </c>
      <c r="E109" t="e">
        <f>IF(OR(D109=#REF!,D109=$T$1,D109=$U$1),D109,IF(RIGHT(D109,4)&gt;RIGHT($U$1,4),$U$1,IF(D109="","",#REF!)))</f>
        <v>#REF!</v>
      </c>
      <c r="F109" t="str">
        <f t="shared" si="31"/>
        <v/>
      </c>
      <c r="G109" s="2" t="str">
        <f t="shared" si="36"/>
        <v/>
      </c>
      <c r="H109" s="2" t="str">
        <f t="shared" si="36"/>
        <v/>
      </c>
      <c r="I109" s="2" t="str">
        <f t="shared" si="36"/>
        <v/>
      </c>
      <c r="J109" s="2" t="str">
        <f t="shared" si="30"/>
        <v/>
      </c>
      <c r="K109" s="5" t="str">
        <f t="shared" si="37"/>
        <v/>
      </c>
      <c r="L109" s="5" t="str">
        <f t="shared" si="37"/>
        <v/>
      </c>
      <c r="M109" s="5" t="str">
        <f t="shared" si="37"/>
        <v/>
      </c>
      <c r="N109" s="5" t="str">
        <f t="shared" si="37"/>
        <v/>
      </c>
      <c r="O109" s="5" t="str">
        <f t="shared" si="37"/>
        <v/>
      </c>
      <c r="P109" s="5" t="str">
        <f t="shared" si="37"/>
        <v/>
      </c>
      <c r="Q109" s="5" t="str">
        <f t="shared" si="37"/>
        <v/>
      </c>
    </row>
    <row r="110" spans="1:17" x14ac:dyDescent="0.25">
      <c r="A110" s="22">
        <v>105</v>
      </c>
      <c r="B110" s="4" t="str">
        <f t="shared" si="27"/>
        <v/>
      </c>
      <c r="C110" s="4" t="str">
        <f t="shared" si="28"/>
        <v/>
      </c>
      <c r="D110" t="str">
        <f t="shared" si="29"/>
        <v/>
      </c>
      <c r="E110" t="e">
        <f>IF(OR(D110=#REF!,D110=$T$1,D110=$U$1),D110,IF(RIGHT(D110,4)&gt;RIGHT($U$1,4),$U$1,IF(D110="","",#REF!)))</f>
        <v>#REF!</v>
      </c>
      <c r="F110" t="str">
        <f t="shared" si="31"/>
        <v/>
      </c>
      <c r="G110" s="2" t="str">
        <f t="shared" si="36"/>
        <v/>
      </c>
      <c r="H110" s="2" t="str">
        <f t="shared" si="36"/>
        <v/>
      </c>
      <c r="I110" s="2" t="str">
        <f t="shared" si="36"/>
        <v/>
      </c>
      <c r="J110" s="2" t="str">
        <f t="shared" si="30"/>
        <v/>
      </c>
      <c r="K110" s="5" t="str">
        <f t="shared" si="37"/>
        <v/>
      </c>
      <c r="L110" s="5" t="str">
        <f t="shared" si="37"/>
        <v/>
      </c>
      <c r="M110" s="5" t="str">
        <f t="shared" si="37"/>
        <v/>
      </c>
      <c r="N110" s="5" t="str">
        <f t="shared" si="37"/>
        <v/>
      </c>
      <c r="O110" s="5" t="str">
        <f t="shared" si="37"/>
        <v/>
      </c>
      <c r="P110" s="5" t="str">
        <f t="shared" si="37"/>
        <v/>
      </c>
      <c r="Q110" s="5" t="str">
        <f t="shared" si="37"/>
        <v/>
      </c>
    </row>
    <row r="111" spans="1:17" x14ac:dyDescent="0.25">
      <c r="A111" s="22">
        <v>106</v>
      </c>
      <c r="B111" s="4" t="str">
        <f t="shared" si="27"/>
        <v/>
      </c>
      <c r="C111" s="4" t="str">
        <f t="shared" si="28"/>
        <v/>
      </c>
      <c r="D111" t="str">
        <f t="shared" si="29"/>
        <v/>
      </c>
      <c r="E111" t="e">
        <f>IF(OR(D111=#REF!,D111=$T$1,D111=$U$1),D111,IF(RIGHT(D111,4)&gt;RIGHT($U$1,4),$U$1,IF(D111="","",#REF!)))</f>
        <v>#REF!</v>
      </c>
      <c r="F111" t="str">
        <f t="shared" si="31"/>
        <v/>
      </c>
      <c r="G111" s="2" t="str">
        <f t="shared" si="36"/>
        <v/>
      </c>
      <c r="H111" s="2" t="str">
        <f t="shared" si="36"/>
        <v/>
      </c>
      <c r="I111" s="2" t="str">
        <f t="shared" si="36"/>
        <v/>
      </c>
      <c r="J111" s="2" t="str">
        <f t="shared" si="30"/>
        <v/>
      </c>
      <c r="K111" s="5" t="str">
        <f t="shared" si="37"/>
        <v/>
      </c>
      <c r="L111" s="5" t="str">
        <f t="shared" si="37"/>
        <v/>
      </c>
      <c r="M111" s="5" t="str">
        <f t="shared" si="37"/>
        <v/>
      </c>
      <c r="N111" s="5" t="str">
        <f t="shared" si="37"/>
        <v/>
      </c>
      <c r="O111" s="5" t="str">
        <f t="shared" si="37"/>
        <v/>
      </c>
      <c r="P111" s="5" t="str">
        <f t="shared" si="37"/>
        <v/>
      </c>
      <c r="Q111" s="5" t="str">
        <f t="shared" si="37"/>
        <v/>
      </c>
    </row>
    <row r="112" spans="1:17" x14ac:dyDescent="0.25">
      <c r="A112" s="22">
        <v>107</v>
      </c>
      <c r="B112" s="4" t="str">
        <f t="shared" si="27"/>
        <v/>
      </c>
      <c r="C112" s="4" t="str">
        <f t="shared" si="28"/>
        <v/>
      </c>
      <c r="D112" t="str">
        <f t="shared" si="29"/>
        <v/>
      </c>
      <c r="E112" t="e">
        <f>IF(OR(D112=#REF!,D112=$T$1,D112=$U$1),D112,IF(RIGHT(D112,4)&gt;RIGHT($U$1,4),$U$1,IF(D112="","",#REF!)))</f>
        <v>#REF!</v>
      </c>
      <c r="F112" t="str">
        <f t="shared" si="31"/>
        <v/>
      </c>
      <c r="G112" s="2" t="str">
        <f t="shared" si="36"/>
        <v/>
      </c>
      <c r="H112" s="2" t="str">
        <f t="shared" si="36"/>
        <v/>
      </c>
      <c r="I112" s="2" t="str">
        <f t="shared" si="36"/>
        <v/>
      </c>
      <c r="J112" s="2" t="str">
        <f t="shared" si="30"/>
        <v/>
      </c>
      <c r="K112" s="5" t="str">
        <f t="shared" si="37"/>
        <v/>
      </c>
      <c r="L112" s="5" t="str">
        <f t="shared" si="37"/>
        <v/>
      </c>
      <c r="M112" s="5" t="str">
        <f t="shared" si="37"/>
        <v/>
      </c>
      <c r="N112" s="5" t="str">
        <f t="shared" si="37"/>
        <v/>
      </c>
      <c r="O112" s="5" t="str">
        <f t="shared" si="37"/>
        <v/>
      </c>
      <c r="P112" s="5" t="str">
        <f t="shared" si="37"/>
        <v/>
      </c>
      <c r="Q112" s="5" t="str">
        <f t="shared" si="37"/>
        <v/>
      </c>
    </row>
    <row r="113" spans="1:24" x14ac:dyDescent="0.25">
      <c r="A113" s="22">
        <v>108</v>
      </c>
      <c r="B113" s="4" t="str">
        <f t="shared" si="27"/>
        <v/>
      </c>
      <c r="C113" s="4" t="str">
        <f t="shared" si="28"/>
        <v/>
      </c>
      <c r="D113" t="str">
        <f t="shared" si="29"/>
        <v/>
      </c>
      <c r="E113" t="e">
        <f>IF(OR(D113=#REF!,D113=$T$1,D113=$U$1),D113,IF(RIGHT(D113,4)&gt;RIGHT($U$1,4),$U$1,IF(D113="","",#REF!)))</f>
        <v>#REF!</v>
      </c>
      <c r="F113" t="str">
        <f t="shared" si="31"/>
        <v/>
      </c>
      <c r="G113" s="2" t="str">
        <f t="shared" si="36"/>
        <v/>
      </c>
      <c r="H113" s="2" t="str">
        <f t="shared" si="36"/>
        <v/>
      </c>
      <c r="I113" s="2" t="str">
        <f t="shared" si="36"/>
        <v/>
      </c>
      <c r="J113" s="2" t="str">
        <f t="shared" si="30"/>
        <v/>
      </c>
      <c r="K113" s="5" t="str">
        <f t="shared" si="37"/>
        <v/>
      </c>
      <c r="L113" s="5" t="str">
        <f t="shared" si="37"/>
        <v/>
      </c>
      <c r="M113" s="5" t="str">
        <f t="shared" si="37"/>
        <v/>
      </c>
      <c r="N113" s="5" t="str">
        <f t="shared" si="37"/>
        <v/>
      </c>
      <c r="O113" s="5" t="str">
        <f t="shared" si="37"/>
        <v/>
      </c>
      <c r="P113" s="5" t="str">
        <f t="shared" si="37"/>
        <v/>
      </c>
      <c r="Q113" s="5" t="str">
        <f t="shared" si="37"/>
        <v/>
      </c>
    </row>
    <row r="114" spans="1:24" x14ac:dyDescent="0.25">
      <c r="A114" s="22">
        <v>109</v>
      </c>
      <c r="B114" s="4" t="str">
        <f t="shared" si="27"/>
        <v/>
      </c>
      <c r="C114" s="4" t="str">
        <f t="shared" si="28"/>
        <v/>
      </c>
      <c r="D114" t="str">
        <f t="shared" si="29"/>
        <v/>
      </c>
      <c r="E114" t="e">
        <f>IF(OR(D114=#REF!,D114=$T$1,D114=$U$1),D114,IF(RIGHT(D114,4)&gt;RIGHT($U$1,4),$U$1,IF(D114="","",#REF!)))</f>
        <v>#REF!</v>
      </c>
      <c r="F114" t="str">
        <f t="shared" si="31"/>
        <v/>
      </c>
      <c r="G114" s="2" t="str">
        <f t="shared" si="36"/>
        <v/>
      </c>
      <c r="H114" s="2" t="str">
        <f t="shared" si="36"/>
        <v/>
      </c>
      <c r="I114" s="2" t="str">
        <f t="shared" si="36"/>
        <v/>
      </c>
      <c r="J114" s="2" t="str">
        <f t="shared" si="30"/>
        <v/>
      </c>
      <c r="K114" s="5" t="str">
        <f t="shared" si="37"/>
        <v/>
      </c>
      <c r="L114" s="5" t="str">
        <f t="shared" si="37"/>
        <v/>
      </c>
      <c r="M114" s="5" t="str">
        <f t="shared" si="37"/>
        <v/>
      </c>
      <c r="N114" s="5" t="str">
        <f t="shared" si="37"/>
        <v/>
      </c>
      <c r="O114" s="5" t="str">
        <f t="shared" si="37"/>
        <v/>
      </c>
      <c r="P114" s="5" t="str">
        <f t="shared" si="37"/>
        <v/>
      </c>
      <c r="Q114" s="5" t="str">
        <f t="shared" si="37"/>
        <v/>
      </c>
    </row>
    <row r="115" spans="1:24" x14ac:dyDescent="0.25">
      <c r="A115" s="22">
        <v>110</v>
      </c>
      <c r="B115" s="4" t="str">
        <f t="shared" si="27"/>
        <v/>
      </c>
      <c r="C115" s="4" t="str">
        <f t="shared" si="28"/>
        <v/>
      </c>
      <c r="D115" t="str">
        <f t="shared" si="29"/>
        <v/>
      </c>
      <c r="E115" t="e">
        <f>IF(OR(D115=#REF!,D115=$T$1,D115=$U$1),D115,IF(RIGHT(D115,4)&gt;RIGHT($U$1,4),$U$1,IF(D115="","",#REF!)))</f>
        <v>#REF!</v>
      </c>
      <c r="F115" t="str">
        <f t="shared" si="31"/>
        <v/>
      </c>
      <c r="G115" s="2" t="str">
        <f t="shared" si="36"/>
        <v/>
      </c>
      <c r="H115" s="2" t="str">
        <f t="shared" si="36"/>
        <v/>
      </c>
      <c r="I115" s="2" t="str">
        <f t="shared" si="36"/>
        <v/>
      </c>
      <c r="J115" s="2" t="str">
        <f t="shared" si="30"/>
        <v/>
      </c>
      <c r="K115" s="5" t="str">
        <f t="shared" si="37"/>
        <v/>
      </c>
      <c r="L115" s="5" t="str">
        <f t="shared" si="37"/>
        <v/>
      </c>
      <c r="M115" s="5" t="str">
        <f t="shared" si="37"/>
        <v/>
      </c>
      <c r="N115" s="5" t="str">
        <f t="shared" si="37"/>
        <v/>
      </c>
      <c r="O115" s="5" t="str">
        <f t="shared" si="37"/>
        <v/>
      </c>
      <c r="P115" s="5" t="str">
        <f t="shared" si="37"/>
        <v/>
      </c>
      <c r="Q115" s="5" t="str">
        <f t="shared" si="37"/>
        <v/>
      </c>
    </row>
    <row r="116" spans="1:24" x14ac:dyDescent="0.25">
      <c r="A116" s="22">
        <v>111</v>
      </c>
      <c r="B116" s="4" t="str">
        <f t="shared" si="27"/>
        <v/>
      </c>
      <c r="C116" s="4" t="str">
        <f t="shared" si="28"/>
        <v/>
      </c>
      <c r="D116" t="str">
        <f t="shared" si="29"/>
        <v/>
      </c>
      <c r="E116" t="e">
        <f>IF(OR(D116=#REF!,D116=$T$1,D116=$U$1),D116,IF(RIGHT(D116,4)&gt;RIGHT($U$1,4),$U$1,IF(D116="","",#REF!)))</f>
        <v>#REF!</v>
      </c>
      <c r="F116" t="str">
        <f t="shared" si="31"/>
        <v/>
      </c>
      <c r="G116" s="2" t="str">
        <f t="shared" si="36"/>
        <v/>
      </c>
      <c r="H116" s="2" t="str">
        <f t="shared" si="36"/>
        <v/>
      </c>
      <c r="I116" s="2" t="str">
        <f t="shared" si="36"/>
        <v/>
      </c>
      <c r="J116" s="2" t="str">
        <f t="shared" si="30"/>
        <v/>
      </c>
      <c r="K116" s="5" t="str">
        <f t="shared" ref="K116:Q125" si="38">IF(ISERROR(IF(RIGHT($E116,4)&gt;RIGHT($U$1,4),INDEX($V$43:$X$55,MATCH(K$5,$T$43:$T$55,0),MATCH($U$1,$V$42:$X$42,0)),INDEX($V$43:$X$55,MATCH(K$5,$T$43:$T$55,0),MATCH($E116,$V$42:$X$42,0)))),"",
IF(OR(K$5="FTS",K$5="PTU",K$5="PTS",K$5="PTG"),
IF($C116="Summer",
IF(RIGHT($E116,4)&gt;RIGHT($U$1,4),INDEX($V$43:$X$55,MATCH(K$5,$T$43:$T$55,0),MATCH($U$1,$V$42:$X$42,0)),INDEX($V$43:$X$55,MATCH(K$5,$T$43:$T$55,0),MATCH($E116,$V$42:$X$42,0))),0),IF(RIGHT($E116,4)&gt;RIGHT($U$1,4),INDEX($V$43:$X$55,MATCH(K$5,$T$43:$T$55,0),MATCH($U$1,$V$42:$X$42,0)),INDEX($V$43:$X$55,MATCH(K$5,$T$43:$T$55,0),MATCH($E116,$V$42:$X$42,0)))))</f>
        <v/>
      </c>
      <c r="L116" s="5" t="str">
        <f t="shared" si="38"/>
        <v/>
      </c>
      <c r="M116" s="5" t="str">
        <f t="shared" si="38"/>
        <v/>
      </c>
      <c r="N116" s="5" t="str">
        <f t="shared" si="38"/>
        <v/>
      </c>
      <c r="O116" s="5" t="str">
        <f t="shared" si="38"/>
        <v/>
      </c>
      <c r="P116" s="5" t="str">
        <f t="shared" si="38"/>
        <v/>
      </c>
      <c r="Q116" s="5" t="str">
        <f t="shared" si="38"/>
        <v/>
      </c>
    </row>
    <row r="117" spans="1:24" x14ac:dyDescent="0.25">
      <c r="A117" s="22">
        <v>112</v>
      </c>
      <c r="B117" s="4" t="str">
        <f t="shared" si="27"/>
        <v/>
      </c>
      <c r="C117" s="4" t="str">
        <f t="shared" si="28"/>
        <v/>
      </c>
      <c r="D117" t="str">
        <f t="shared" si="29"/>
        <v/>
      </c>
      <c r="E117" t="e">
        <f>IF(OR(D117=#REF!,D117=$T$1,D117=$U$1),D117,IF(RIGHT(D117,4)&gt;RIGHT($U$1,4),$U$1,IF(D117="","",#REF!)))</f>
        <v>#REF!</v>
      </c>
      <c r="F117" t="str">
        <f t="shared" si="31"/>
        <v/>
      </c>
      <c r="G117" s="2" t="str">
        <f t="shared" ref="G117:I125" si="39">IF(ISERROR(INDEX($AB$17:$AD$34, MATCH($F117,$AA$17:$AA$34,0), MATCH(G$5,$AB$16:$AD$16,0))),"",INDEX($AB$17:$AD$34, MATCH($F117,$AA$17:$AA$34,0), MATCH(G$5,$AB$16:$AD$16,0)))</f>
        <v/>
      </c>
      <c r="H117" s="2" t="str">
        <f t="shared" si="39"/>
        <v/>
      </c>
      <c r="I117" s="2" t="str">
        <f t="shared" si="39"/>
        <v/>
      </c>
      <c r="J117" s="2" t="str">
        <f t="shared" si="30"/>
        <v/>
      </c>
      <c r="K117" s="5" t="str">
        <f t="shared" si="38"/>
        <v/>
      </c>
      <c r="L117" s="5" t="str">
        <f t="shared" si="38"/>
        <v/>
      </c>
      <c r="M117" s="5" t="str">
        <f t="shared" si="38"/>
        <v/>
      </c>
      <c r="N117" s="5" t="str">
        <f t="shared" si="38"/>
        <v/>
      </c>
      <c r="O117" s="5" t="str">
        <f t="shared" si="38"/>
        <v/>
      </c>
      <c r="P117" s="5" t="str">
        <f t="shared" si="38"/>
        <v/>
      </c>
      <c r="Q117" s="5" t="str">
        <f t="shared" si="38"/>
        <v/>
      </c>
    </row>
    <row r="118" spans="1:24" x14ac:dyDescent="0.25">
      <c r="A118" s="22">
        <v>113</v>
      </c>
      <c r="B118" s="4" t="str">
        <f t="shared" si="27"/>
        <v/>
      </c>
      <c r="C118" s="4" t="str">
        <f t="shared" si="28"/>
        <v/>
      </c>
      <c r="D118" t="str">
        <f t="shared" si="29"/>
        <v/>
      </c>
      <c r="E118" t="e">
        <f>IF(OR(D118=#REF!,D118=$T$1,D118=$U$1),D118,IF(RIGHT(D118,4)&gt;RIGHT($U$1,4),$U$1,IF(D118="","",#REF!)))</f>
        <v>#REF!</v>
      </c>
      <c r="F118" t="str">
        <f t="shared" si="31"/>
        <v/>
      </c>
      <c r="G118" s="2" t="str">
        <f t="shared" si="39"/>
        <v/>
      </c>
      <c r="H118" s="2" t="str">
        <f t="shared" si="39"/>
        <v/>
      </c>
      <c r="I118" s="2" t="str">
        <f t="shared" si="39"/>
        <v/>
      </c>
      <c r="J118" s="2" t="str">
        <f t="shared" si="30"/>
        <v/>
      </c>
      <c r="K118" s="5" t="str">
        <f t="shared" si="38"/>
        <v/>
      </c>
      <c r="L118" s="5" t="str">
        <f t="shared" si="38"/>
        <v/>
      </c>
      <c r="M118" s="5" t="str">
        <f t="shared" si="38"/>
        <v/>
      </c>
      <c r="N118" s="5" t="str">
        <f t="shared" si="38"/>
        <v/>
      </c>
      <c r="O118" s="5" t="str">
        <f t="shared" si="38"/>
        <v/>
      </c>
      <c r="P118" s="5" t="str">
        <f t="shared" si="38"/>
        <v/>
      </c>
      <c r="Q118" s="5" t="str">
        <f t="shared" si="38"/>
        <v/>
      </c>
    </row>
    <row r="119" spans="1:24" x14ac:dyDescent="0.25">
      <c r="A119" s="22">
        <v>114</v>
      </c>
      <c r="B119" s="4" t="str">
        <f t="shared" si="27"/>
        <v/>
      </c>
      <c r="C119" s="4" t="str">
        <f t="shared" si="28"/>
        <v/>
      </c>
      <c r="D119" t="str">
        <f t="shared" si="29"/>
        <v/>
      </c>
      <c r="E119" t="e">
        <f>IF(OR(D119=#REF!,D119=$T$1,D119=$U$1),D119,IF(RIGHT(D119,4)&gt;RIGHT($U$1,4),$U$1,IF(D119="","",#REF!)))</f>
        <v>#REF!</v>
      </c>
      <c r="F119" t="str">
        <f t="shared" si="31"/>
        <v/>
      </c>
      <c r="G119" s="2" t="str">
        <f t="shared" si="39"/>
        <v/>
      </c>
      <c r="H119" s="2" t="str">
        <f t="shared" si="39"/>
        <v/>
      </c>
      <c r="I119" s="2" t="str">
        <f t="shared" si="39"/>
        <v/>
      </c>
      <c r="J119" s="2" t="str">
        <f t="shared" si="30"/>
        <v/>
      </c>
      <c r="K119" s="5" t="str">
        <f t="shared" si="38"/>
        <v/>
      </c>
      <c r="L119" s="5" t="str">
        <f t="shared" si="38"/>
        <v/>
      </c>
      <c r="M119" s="5" t="str">
        <f t="shared" si="38"/>
        <v/>
      </c>
      <c r="N119" s="5" t="str">
        <f t="shared" si="38"/>
        <v/>
      </c>
      <c r="O119" s="5" t="str">
        <f t="shared" si="38"/>
        <v/>
      </c>
      <c r="P119" s="5" t="str">
        <f t="shared" si="38"/>
        <v/>
      </c>
      <c r="Q119" s="5" t="str">
        <f t="shared" si="38"/>
        <v/>
      </c>
    </row>
    <row r="120" spans="1:24" x14ac:dyDescent="0.25">
      <c r="A120" s="22">
        <v>115</v>
      </c>
      <c r="B120" s="4" t="str">
        <f t="shared" si="27"/>
        <v/>
      </c>
      <c r="C120" s="4" t="str">
        <f t="shared" si="28"/>
        <v/>
      </c>
      <c r="D120" t="str">
        <f t="shared" si="29"/>
        <v/>
      </c>
      <c r="E120" t="e">
        <f>IF(OR(D120=#REF!,D120=$T$1,D120=$U$1),D120,IF(RIGHT(D120,4)&gt;RIGHT($U$1,4),$U$1,IF(D120="","",#REF!)))</f>
        <v>#REF!</v>
      </c>
      <c r="F120" t="str">
        <f t="shared" si="31"/>
        <v/>
      </c>
      <c r="G120" s="2" t="str">
        <f t="shared" si="39"/>
        <v/>
      </c>
      <c r="H120" s="2" t="str">
        <f t="shared" si="39"/>
        <v/>
      </c>
      <c r="I120" s="2" t="str">
        <f t="shared" si="39"/>
        <v/>
      </c>
      <c r="J120" s="2" t="str">
        <f t="shared" si="30"/>
        <v/>
      </c>
      <c r="K120" s="5" t="str">
        <f t="shared" si="38"/>
        <v/>
      </c>
      <c r="L120" s="5" t="str">
        <f t="shared" si="38"/>
        <v/>
      </c>
      <c r="M120" s="5" t="str">
        <f t="shared" si="38"/>
        <v/>
      </c>
      <c r="N120" s="5" t="str">
        <f t="shared" si="38"/>
        <v/>
      </c>
      <c r="O120" s="5" t="str">
        <f t="shared" si="38"/>
        <v/>
      </c>
      <c r="P120" s="5" t="str">
        <f t="shared" si="38"/>
        <v/>
      </c>
      <c r="Q120" s="5" t="str">
        <f t="shared" si="38"/>
        <v/>
      </c>
    </row>
    <row r="121" spans="1:24" x14ac:dyDescent="0.25">
      <c r="A121" s="22">
        <v>116</v>
      </c>
      <c r="B121" s="4" t="str">
        <f t="shared" si="27"/>
        <v/>
      </c>
      <c r="C121" s="4" t="str">
        <f t="shared" si="28"/>
        <v/>
      </c>
      <c r="D121" t="str">
        <f t="shared" si="29"/>
        <v/>
      </c>
      <c r="E121" t="e">
        <f>IF(OR(D121=#REF!,D121=$T$1,D121=$U$1),D121,IF(RIGHT(D121,4)&gt;RIGHT($U$1,4),$U$1,IF(D121="","",#REF!)))</f>
        <v>#REF!</v>
      </c>
      <c r="F121" t="str">
        <f t="shared" si="31"/>
        <v/>
      </c>
      <c r="G121" s="2" t="str">
        <f t="shared" si="39"/>
        <v/>
      </c>
      <c r="H121" s="2" t="str">
        <f t="shared" si="39"/>
        <v/>
      </c>
      <c r="I121" s="2" t="str">
        <f t="shared" si="39"/>
        <v/>
      </c>
      <c r="J121" s="2" t="str">
        <f t="shared" si="30"/>
        <v/>
      </c>
      <c r="K121" s="5" t="str">
        <f t="shared" si="38"/>
        <v/>
      </c>
      <c r="L121" s="5" t="str">
        <f t="shared" si="38"/>
        <v/>
      </c>
      <c r="M121" s="5" t="str">
        <f t="shared" si="38"/>
        <v/>
      </c>
      <c r="N121" s="5" t="str">
        <f t="shared" si="38"/>
        <v/>
      </c>
      <c r="O121" s="5" t="str">
        <f t="shared" si="38"/>
        <v/>
      </c>
      <c r="P121" s="5" t="str">
        <f t="shared" si="38"/>
        <v/>
      </c>
      <c r="Q121" s="5" t="str">
        <f t="shared" si="38"/>
        <v/>
      </c>
    </row>
    <row r="122" spans="1:24" x14ac:dyDescent="0.25">
      <c r="A122" s="22">
        <v>117</v>
      </c>
      <c r="B122" s="4" t="str">
        <f t="shared" si="27"/>
        <v/>
      </c>
      <c r="C122" s="4" t="str">
        <f t="shared" si="28"/>
        <v/>
      </c>
      <c r="D122" t="str">
        <f t="shared" si="29"/>
        <v/>
      </c>
      <c r="E122" t="e">
        <f>IF(OR(D122=#REF!,D122=$T$1,D122=$U$1),D122,IF(RIGHT(D122,4)&gt;RIGHT($U$1,4),$U$1,IF(D122="","",#REF!)))</f>
        <v>#REF!</v>
      </c>
      <c r="F122" t="str">
        <f t="shared" si="31"/>
        <v/>
      </c>
      <c r="G122" s="2" t="str">
        <f t="shared" si="39"/>
        <v/>
      </c>
      <c r="H122" s="2" t="str">
        <f t="shared" si="39"/>
        <v/>
      </c>
      <c r="I122" s="2" t="str">
        <f t="shared" si="39"/>
        <v/>
      </c>
      <c r="J122" s="2" t="str">
        <f t="shared" si="30"/>
        <v/>
      </c>
      <c r="K122" s="5" t="str">
        <f t="shared" si="38"/>
        <v/>
      </c>
      <c r="L122" s="5" t="str">
        <f t="shared" si="38"/>
        <v/>
      </c>
      <c r="M122" s="5" t="str">
        <f t="shared" si="38"/>
        <v/>
      </c>
      <c r="N122" s="5" t="str">
        <f t="shared" si="38"/>
        <v/>
      </c>
      <c r="O122" s="5" t="str">
        <f t="shared" si="38"/>
        <v/>
      </c>
      <c r="P122" s="5" t="str">
        <f t="shared" si="38"/>
        <v/>
      </c>
      <c r="Q122" s="5" t="str">
        <f t="shared" si="38"/>
        <v/>
      </c>
    </row>
    <row r="123" spans="1:24" x14ac:dyDescent="0.25">
      <c r="A123" s="22">
        <v>118</v>
      </c>
      <c r="B123" s="4" t="str">
        <f t="shared" si="27"/>
        <v/>
      </c>
      <c r="C123" s="4" t="str">
        <f t="shared" si="28"/>
        <v/>
      </c>
      <c r="D123" t="str">
        <f t="shared" si="29"/>
        <v/>
      </c>
      <c r="E123" t="e">
        <f>IF(OR(D123=#REF!,D123=$T$1,D123=$U$1),D123,IF(RIGHT(D123,4)&gt;RIGHT($U$1,4),$U$1,IF(D123="","",#REF!)))</f>
        <v>#REF!</v>
      </c>
      <c r="F123" t="str">
        <f t="shared" si="31"/>
        <v/>
      </c>
      <c r="G123" s="2" t="str">
        <f t="shared" si="39"/>
        <v/>
      </c>
      <c r="H123" s="2" t="str">
        <f t="shared" si="39"/>
        <v/>
      </c>
      <c r="I123" s="2" t="str">
        <f t="shared" si="39"/>
        <v/>
      </c>
      <c r="J123" s="2" t="str">
        <f t="shared" si="30"/>
        <v/>
      </c>
      <c r="K123" s="5" t="str">
        <f t="shared" si="38"/>
        <v/>
      </c>
      <c r="L123" s="5" t="str">
        <f t="shared" si="38"/>
        <v/>
      </c>
      <c r="M123" s="5" t="str">
        <f t="shared" si="38"/>
        <v/>
      </c>
      <c r="N123" s="5" t="str">
        <f t="shared" si="38"/>
        <v/>
      </c>
      <c r="O123" s="5" t="str">
        <f t="shared" si="38"/>
        <v/>
      </c>
      <c r="P123" s="5" t="str">
        <f t="shared" si="38"/>
        <v/>
      </c>
      <c r="Q123" s="5" t="str">
        <f t="shared" si="38"/>
        <v/>
      </c>
    </row>
    <row r="124" spans="1:24" x14ac:dyDescent="0.25">
      <c r="A124" s="22">
        <v>119</v>
      </c>
      <c r="B124" s="4" t="str">
        <f t="shared" si="27"/>
        <v/>
      </c>
      <c r="C124" s="4" t="str">
        <f t="shared" si="28"/>
        <v/>
      </c>
      <c r="D124" t="str">
        <f t="shared" si="29"/>
        <v/>
      </c>
      <c r="E124" t="e">
        <f>IF(OR(D124=#REF!,D124=$T$1,D124=$U$1),D124,IF(RIGHT(D124,4)&gt;RIGHT($U$1,4),$U$1,IF(D124="","",#REF!)))</f>
        <v>#REF!</v>
      </c>
      <c r="F124" t="str">
        <f t="shared" si="31"/>
        <v/>
      </c>
      <c r="G124" s="2" t="str">
        <f t="shared" si="39"/>
        <v/>
      </c>
      <c r="H124" s="2" t="str">
        <f t="shared" si="39"/>
        <v/>
      </c>
      <c r="I124" s="2" t="str">
        <f t="shared" si="39"/>
        <v/>
      </c>
      <c r="J124" s="2" t="str">
        <f t="shared" si="30"/>
        <v/>
      </c>
      <c r="K124" s="5" t="str">
        <f t="shared" si="38"/>
        <v/>
      </c>
      <c r="L124" s="5" t="str">
        <f t="shared" si="38"/>
        <v/>
      </c>
      <c r="M124" s="5" t="str">
        <f t="shared" si="38"/>
        <v/>
      </c>
      <c r="N124" s="5" t="str">
        <f t="shared" si="38"/>
        <v/>
      </c>
      <c r="O124" s="5" t="str">
        <f t="shared" si="38"/>
        <v/>
      </c>
      <c r="P124" s="5" t="str">
        <f t="shared" si="38"/>
        <v/>
      </c>
      <c r="Q124" s="5" t="str">
        <f t="shared" si="38"/>
        <v/>
      </c>
    </row>
    <row r="125" spans="1:24" s="161" customFormat="1" x14ac:dyDescent="0.25">
      <c r="A125" s="162">
        <v>120</v>
      </c>
      <c r="B125" s="152" t="str">
        <f t="shared" si="27"/>
        <v/>
      </c>
      <c r="C125" s="152" t="str">
        <f t="shared" si="28"/>
        <v/>
      </c>
      <c r="D125" s="161" t="str">
        <f t="shared" si="29"/>
        <v/>
      </c>
      <c r="E125" s="161" t="e">
        <f>IF(OR(D125=#REF!,D125=$T$1,D125=$U$1),D125,IF(RIGHT(D125,4)&gt;RIGHT($U$1,4),$U$1,IF(D125="","",#REF!)))</f>
        <v>#REF!</v>
      </c>
      <c r="F125" s="161" t="str">
        <f t="shared" si="31"/>
        <v/>
      </c>
      <c r="G125" s="163" t="str">
        <f t="shared" si="39"/>
        <v/>
      </c>
      <c r="H125" s="163" t="str">
        <f t="shared" si="39"/>
        <v/>
      </c>
      <c r="I125" s="163" t="str">
        <f t="shared" si="39"/>
        <v/>
      </c>
      <c r="J125" s="163" t="str">
        <f t="shared" si="30"/>
        <v/>
      </c>
      <c r="K125" s="5" t="str">
        <f t="shared" si="38"/>
        <v/>
      </c>
      <c r="L125" s="5" t="str">
        <f t="shared" si="38"/>
        <v/>
      </c>
      <c r="M125" s="5" t="str">
        <f t="shared" si="38"/>
        <v/>
      </c>
      <c r="N125" s="5" t="str">
        <f t="shared" si="38"/>
        <v/>
      </c>
      <c r="O125" s="5" t="str">
        <f t="shared" si="38"/>
        <v/>
      </c>
      <c r="P125" s="5" t="str">
        <f t="shared" si="38"/>
        <v/>
      </c>
      <c r="Q125" s="5" t="str">
        <f t="shared" si="38"/>
        <v/>
      </c>
      <c r="S125"/>
      <c r="T125"/>
      <c r="U125"/>
      <c r="V125"/>
      <c r="W125"/>
      <c r="X125"/>
    </row>
    <row r="127" spans="1:24" x14ac:dyDescent="0.25">
      <c r="S127" s="161"/>
      <c r="T127" s="161"/>
      <c r="U127" s="161"/>
      <c r="V127" s="161"/>
      <c r="W127" s="161"/>
      <c r="X127" s="161"/>
    </row>
  </sheetData>
  <pageMargins left="0.7" right="0.7" top="0.75" bottom="0.75" header="0.3" footer="0.3"/>
  <pageSetup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14"/>
  <sheetViews>
    <sheetView workbookViewId="0">
      <selection activeCell="A15" sqref="A15"/>
    </sheetView>
  </sheetViews>
  <sheetFormatPr defaultColWidth="8.85546875" defaultRowHeight="15" x14ac:dyDescent="0.25"/>
  <cols>
    <col min="1" max="1" width="22.140625" bestFit="1" customWidth="1"/>
  </cols>
  <sheetData>
    <row r="1" spans="1:1" x14ac:dyDescent="0.25">
      <c r="A1" t="s">
        <v>203</v>
      </c>
    </row>
    <row r="2" spans="1:1" x14ac:dyDescent="0.25">
      <c r="A2" t="s">
        <v>231</v>
      </c>
    </row>
    <row r="3" spans="1:1" x14ac:dyDescent="0.25">
      <c r="A3" t="s">
        <v>233</v>
      </c>
    </row>
    <row r="4" spans="1:1" x14ac:dyDescent="0.25">
      <c r="A4" t="s">
        <v>232</v>
      </c>
    </row>
    <row r="5" spans="1:1" x14ac:dyDescent="0.25">
      <c r="A5" t="s">
        <v>16</v>
      </c>
    </row>
    <row r="6" spans="1:1" x14ac:dyDescent="0.25">
      <c r="A6" t="s">
        <v>156</v>
      </c>
    </row>
    <row r="7" spans="1:1" x14ac:dyDescent="0.25">
      <c r="A7" t="s">
        <v>165</v>
      </c>
    </row>
    <row r="8" spans="1:1" x14ac:dyDescent="0.25">
      <c r="A8" t="s">
        <v>234</v>
      </c>
    </row>
    <row r="9" spans="1:1" x14ac:dyDescent="0.25">
      <c r="A9" t="s">
        <v>235</v>
      </c>
    </row>
    <row r="10" spans="1:1" x14ac:dyDescent="0.25">
      <c r="A10" t="s">
        <v>100</v>
      </c>
    </row>
    <row r="11" spans="1:1" x14ac:dyDescent="0.25">
      <c r="A11" t="s">
        <v>236</v>
      </c>
    </row>
    <row r="12" spans="1:1" x14ac:dyDescent="0.25">
      <c r="A12" t="s">
        <v>237</v>
      </c>
    </row>
    <row r="13" spans="1:1" x14ac:dyDescent="0.25">
      <c r="A13" t="s">
        <v>238</v>
      </c>
    </row>
    <row r="14" spans="1:1" x14ac:dyDescent="0.25">
      <c r="A14" t="s">
        <v>239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Input Sheet</vt:lpstr>
      <vt:lpstr>Formatted Budget</vt:lpstr>
      <vt:lpstr>Print</vt:lpstr>
      <vt:lpstr>Template</vt:lpstr>
      <vt:lpstr>Back-end</vt:lpstr>
      <vt:lpstr>CompInflator</vt:lpstr>
      <vt:lpstr>IndirectRate</vt:lpstr>
      <vt:lpstr>'Formatted Budget'!Print_Area</vt:lpstr>
      <vt:lpstr>Print!Print_Area</vt:lpstr>
      <vt:lpstr>TotalCompCum</vt:lpstr>
      <vt:lpstr>TotalCompY1</vt:lpstr>
      <vt:lpstr>TotalDirectCum</vt:lpstr>
      <vt:lpstr>TotalDirectY1</vt:lpstr>
      <vt:lpstr>TotalEquipCum</vt:lpstr>
      <vt:lpstr>TotalEquipY1</vt:lpstr>
      <vt:lpstr>TotalIndirectCum</vt:lpstr>
      <vt:lpstr>TotalIndirectY1</vt:lpstr>
      <vt:lpstr>TotalMTDCCum</vt:lpstr>
      <vt:lpstr>TotalMTDCY1</vt:lpstr>
      <vt:lpstr>TotalOtherCum</vt:lpstr>
      <vt:lpstr>TotalOtherY1</vt:lpstr>
      <vt:lpstr>TotalProjectCum</vt:lpstr>
      <vt:lpstr>TotalProjectY1</vt:lpstr>
    </vt:vector>
  </TitlesOfParts>
  <Company>Tufts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Schubert, Kasey L.</dc:creator>
  <cp:lastModifiedBy>Gelzinis, Elizabeth</cp:lastModifiedBy>
  <cp:lastPrinted>2011-10-25T15:27:15Z</cp:lastPrinted>
  <dcterms:created xsi:type="dcterms:W3CDTF">2011-07-08T14:01:43Z</dcterms:created>
  <dcterms:modified xsi:type="dcterms:W3CDTF">2026-06-03T18:11:01Z</dcterms:modified>
</cp:coreProperties>
</file>